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OpenScenario\test_assets\requirements\"/>
    </mc:Choice>
  </mc:AlternateContent>
  <xr:revisionPtr revIDLastSave="648" documentId="13_ncr:1_{F5A69BD8-62CC-4032-9E11-682A20827548}" xr6:coauthVersionLast="47" xr6:coauthVersionMax="47" xr10:uidLastSave="{0ABCECC1-B3C3-420F-9F89-E47C7D997B59}"/>
  <bookViews>
    <workbookView xWindow="-120" yWindow="-120" windowWidth="29040" windowHeight="15720" firstSheet="5" activeTab="8" xr2:uid="{00000000-000D-0000-FFFF-FFFF00000000}"/>
  </bookViews>
  <sheets>
    <sheet name="0. SUM" sheetId="3" r:id="rId1"/>
    <sheet name="1. HWA" sheetId="4" r:id="rId2"/>
    <sheet name="2. ACC" sheetId="2" r:id="rId3"/>
    <sheet name="2.1. ACC_Requirement" sheetId="14" r:id="rId4"/>
    <sheet name="3. TSR" sheetId="5" r:id="rId5"/>
    <sheet name="4. ISA" sheetId="6" r:id="rId6"/>
    <sheet name="5. LDW" sheetId="7" r:id="rId7"/>
    <sheet name="6. LKA" sheetId="8" r:id="rId8"/>
    <sheet name="16. FAEB" sheetId="15" r:id="rId9"/>
    <sheet name="7. ELK" sheetId="9" r:id="rId10"/>
    <sheet name="8. BSD" sheetId="10" r:id="rId11"/>
    <sheet name="9. DOW" sheetId="11" r:id="rId12"/>
    <sheet name="10. RCTA" sheetId="12" r:id="rId13"/>
    <sheet name="11. IA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tc={D1F914A7-BF7C-4F17-BA6C-B20F699298B3}</author>
  </authors>
  <commentList>
    <comment ref="L3" authorId="0" shapeId="0" xr:uid="{D1F914A7-BF7C-4F17-BA6C-B20F699298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80% original speed</t>
      </text>
    </comment>
  </commentList>
</comments>
</file>

<file path=xl/sharedStrings.xml><?xml version="1.0" encoding="utf-8"?>
<sst xmlns="http://schemas.openxmlformats.org/spreadsheetml/2006/main" count="885" uniqueCount="429">
  <si>
    <t>Feature list</t>
  </si>
  <si>
    <t>Change History</t>
  </si>
  <si>
    <t>No.</t>
  </si>
  <si>
    <t>Feature</t>
  </si>
  <si>
    <t>Feature name</t>
  </si>
  <si>
    <t>Requirement Q'ty</t>
  </si>
  <si>
    <t>Date</t>
  </si>
  <si>
    <t>Change</t>
  </si>
  <si>
    <t>HWA</t>
  </si>
  <si>
    <t>HighWay Assist</t>
  </si>
  <si>
    <t>ACC</t>
  </si>
  <si>
    <t>Advance Cruise Control</t>
  </si>
  <si>
    <t>TSR</t>
  </si>
  <si>
    <t>Traffic Sign Recognition</t>
  </si>
  <si>
    <t>ISA</t>
  </si>
  <si>
    <t>Intelligent Speed Assist</t>
  </si>
  <si>
    <t>LDW</t>
  </si>
  <si>
    <t>Lane Departure Warning</t>
  </si>
  <si>
    <t>LKA</t>
  </si>
  <si>
    <t>Lane Keeping Assist</t>
  </si>
  <si>
    <t>ELK</t>
  </si>
  <si>
    <t>Emergency Lane Keeping</t>
  </si>
  <si>
    <t>BSD</t>
  </si>
  <si>
    <t>Blind Spot Detection</t>
  </si>
  <si>
    <t>DOW</t>
  </si>
  <si>
    <t>Door Open Warning</t>
  </si>
  <si>
    <t>RCTA</t>
  </si>
  <si>
    <t>Rear Cross Traffic Alert</t>
  </si>
  <si>
    <t>IA</t>
  </si>
  <si>
    <t>Intersection Assist</t>
  </si>
  <si>
    <t>FPA</t>
  </si>
  <si>
    <t>Front Parking Assist</t>
  </si>
  <si>
    <t>RPA</t>
  </si>
  <si>
    <t>Rear Parking Assist</t>
  </si>
  <si>
    <t>FCW</t>
  </si>
  <si>
    <t>Forward Collision Warning</t>
  </si>
  <si>
    <t>FAEB</t>
  </si>
  <si>
    <t>Front Automated Emergency Braking</t>
  </si>
  <si>
    <t>RAEB</t>
  </si>
  <si>
    <t>Rear Automated Emergency Braking</t>
  </si>
  <si>
    <t>SVM</t>
  </si>
  <si>
    <t>Surround View Mornitor</t>
  </si>
  <si>
    <t>DMS</t>
  </si>
  <si>
    <t>Driver Monitor System</t>
  </si>
  <si>
    <t>EDR</t>
  </si>
  <si>
    <t>Event Data Recorder</t>
  </si>
  <si>
    <t>AHB</t>
  </si>
  <si>
    <t>Auto High Beam</t>
  </si>
  <si>
    <t>Scenario_ID</t>
  </si>
  <si>
    <t>Requirement_ID</t>
  </si>
  <si>
    <t>Domain</t>
  </si>
  <si>
    <t>Scenario name</t>
  </si>
  <si>
    <t>Pre-conditions</t>
  </si>
  <si>
    <t>Test steps</t>
  </si>
  <si>
    <t>Expected results</t>
  </si>
  <si>
    <t>Logic</t>
  </si>
  <si>
    <t>Parameter</t>
  </si>
  <si>
    <t>Ego_speed (kph)</t>
  </si>
  <si>
    <t>Target_speed
(kph)</t>
  </si>
  <si>
    <t>Target_ type</t>
  </si>
  <si>
    <t>Slope</t>
  </si>
  <si>
    <t>Light</t>
  </si>
  <si>
    <t>Curve radius (m)</t>
  </si>
  <si>
    <t>Weather</t>
  </si>
  <si>
    <t>KPI_Set</t>
  </si>
  <si>
    <t>ACC_CSC_001</t>
  </si>
  <si>
    <t>ACC_REQ_001</t>
  </si>
  <si>
    <t>EV in ACC CC mode</t>
  </si>
  <si>
    <t>ACC is activated</t>
  </si>
  <si>
    <t>1. Vehicle run on horizontal road
2. Vehicle run on slope</t>
  </si>
  <si>
    <t>1. Ego set speed controll accuracy &lt;=1 2. Ego set speed controll accuracy &lt;=3</t>
  </si>
  <si>
    <t>acc_csc_001</t>
  </si>
  <si>
    <t>acc_par_001</t>
  </si>
  <si>
    <t>[10,150]</t>
  </si>
  <si>
    <t>-</t>
  </si>
  <si>
    <t>day, night</t>
  </si>
  <si>
    <t>acc_kpi_001</t>
  </si>
  <si>
    <t>ACC_CSC_002</t>
  </si>
  <si>
    <t>ACC_REQ_002</t>
  </si>
  <si>
    <t>EV in CC mode, TV appears in ego lane</t>
  </si>
  <si>
    <t>EV is in CC mode</t>
  </si>
  <si>
    <t>TV appears in front of EV with speed lower than EV</t>
  </si>
  <si>
    <t>EV reduce speed to follow front TV</t>
  </si>
  <si>
    <t>acc_csc_002</t>
  </si>
  <si>
    <t>acc_par_002</t>
  </si>
  <si>
    <t>[20,150]</t>
  </si>
  <si>
    <t>[5, 145]</t>
  </si>
  <si>
    <t>car</t>
  </si>
  <si>
    <t>acc_kpi_002</t>
  </si>
  <si>
    <t>ACC_CSC_003</t>
  </si>
  <si>
    <t>EV in CC mode, TV cut in from the left lane</t>
  </si>
  <si>
    <t>TV cut in from the left lane, in front of EV with speed lower than EV</t>
  </si>
  <si>
    <t>acc_csc_003</t>
  </si>
  <si>
    <t>acc_par_003</t>
  </si>
  <si>
    <t>[30, 90,140]</t>
  </si>
  <si>
    <t>[10, 50, 100]</t>
  </si>
  <si>
    <t>truck</t>
  </si>
  <si>
    <t>acc_kpi_003</t>
  </si>
  <si>
    <t>ACC_CSC_004</t>
  </si>
  <si>
    <t>EV in CC mode, TV cut in from the right lane</t>
  </si>
  <si>
    <t>TV cut in from the right lane, in front of EV with speed lower than EV</t>
  </si>
  <si>
    <t>acc_csc_004</t>
  </si>
  <si>
    <t>acc_par_004</t>
  </si>
  <si>
    <t>[20, 80,150]</t>
  </si>
  <si>
    <t>[5, 60, 145]</t>
  </si>
  <si>
    <t>[250, 1000]</t>
  </si>
  <si>
    <t>fog</t>
  </si>
  <si>
    <t>acc_kpi_004</t>
  </si>
  <si>
    <t>ACC_CSC_005</t>
  </si>
  <si>
    <t>EV in FL mode, TV cut in on the left lane</t>
  </si>
  <si>
    <t>EV is in FL mode</t>
  </si>
  <si>
    <t>New TV cut in from the left lane, comes in between EV and old TV</t>
  </si>
  <si>
    <t>EV reduce speed to follow new TV</t>
  </si>
  <si>
    <t>acc_csc_005</t>
  </si>
  <si>
    <t>acc_par_005</t>
  </si>
  <si>
    <t>bus</t>
  </si>
  <si>
    <t>rain, fog</t>
  </si>
  <si>
    <t>acc_kpi_005</t>
  </si>
  <si>
    <t>ACC_CSC_006</t>
  </si>
  <si>
    <t>EV in FL mode, TV cut in on the right lane</t>
  </si>
  <si>
    <t>New TV cut in from the right lane, comes in between EV and old TV</t>
  </si>
  <si>
    <t>acc_csc_006</t>
  </si>
  <si>
    <t>acc_par_006</t>
  </si>
  <si>
    <t>acc_kpi_006</t>
  </si>
  <si>
    <t>ACC_CSC_007</t>
  </si>
  <si>
    <t>EV in FL mode, TV cut in then stop</t>
  </si>
  <si>
    <t>- New TV cut in ego lane, comes in between EV and old TV
- New TV stops suddenly</t>
  </si>
  <si>
    <t>EV reduce speed to stop behind new TV</t>
  </si>
  <si>
    <t>acc_csc_007</t>
  </si>
  <si>
    <t>acc_par_007</t>
  </si>
  <si>
    <t>acc_kpi_007</t>
  </si>
  <si>
    <t>ACC_CSC_008</t>
  </si>
  <si>
    <t>EV in FL mode, TV cut out to the left lane, no new TV</t>
  </si>
  <si>
    <t>TV cut out to the left lane, no new TV in front of EV</t>
  </si>
  <si>
    <t>EV speed up to the set speed</t>
  </si>
  <si>
    <t>acc_csc_008</t>
  </si>
  <si>
    <t>acc_par_008</t>
  </si>
  <si>
    <t>[60, 120]</t>
  </si>
  <si>
    <t>[40, 100]</t>
  </si>
  <si>
    <t>acc_kpi_008</t>
  </si>
  <si>
    <t>ACC_CSC_009</t>
  </si>
  <si>
    <t>EV in FL mode, TV cut out to the right lane, no new TV</t>
  </si>
  <si>
    <t>TV cut out to the rigth lane, no new TV in front of EV</t>
  </si>
  <si>
    <t>acc_csc_009</t>
  </si>
  <si>
    <t>acc_par_009</t>
  </si>
  <si>
    <t>acc_kpi_009</t>
  </si>
  <si>
    <t>ACC_CSC_010</t>
  </si>
  <si>
    <t>EV in FL mode, TV cut out to the left lane, one new slow speed TV</t>
  </si>
  <si>
    <t>TV cut out to the left lane, new TV with slow speed appears in front of EV</t>
  </si>
  <si>
    <t>EV adjusts speed to follow the new TV</t>
  </si>
  <si>
    <t>acc_csc_010</t>
  </si>
  <si>
    <t>acc_par_010</t>
  </si>
  <si>
    <t>acc_kpi_010</t>
  </si>
  <si>
    <t>ACC_CSC_011</t>
  </si>
  <si>
    <t>EV in FL mode, TV cut out to the right lane, one new slow speed TV</t>
  </si>
  <si>
    <t>TV cut out to the right lane, new TV with slow speed appears in front of EV</t>
  </si>
  <si>
    <t>acc_csc_011</t>
  </si>
  <si>
    <t>acc_par_011</t>
  </si>
  <si>
    <t>[1, 150]</t>
  </si>
  <si>
    <t>acc_kpi_011</t>
  </si>
  <si>
    <t>ACC_CSC_012</t>
  </si>
  <si>
    <t>EV in FL mode, TV cut out of ego lane, one new static TV</t>
  </si>
  <si>
    <t>TV cut out of ego lane, new static TV appears in front of EV</t>
  </si>
  <si>
    <t>EV stop gently behind the new TV</t>
  </si>
  <si>
    <t>acc_csc_012</t>
  </si>
  <si>
    <t>acc_par_012</t>
  </si>
  <si>
    <t>acc_kpi_012</t>
  </si>
  <si>
    <t>ACC_CSC_013</t>
  </si>
  <si>
    <t>EV in FL mode, EV cut out to the left lane, no TV</t>
  </si>
  <si>
    <t>EV cut out from ego lane to the left lane, no any TV appears in the new lane</t>
  </si>
  <si>
    <t>EV speed up to achieve set speed</t>
  </si>
  <si>
    <t>acc_csc_013</t>
  </si>
  <si>
    <t>acc_par_013</t>
  </si>
  <si>
    <t>acc_kpi_013</t>
  </si>
  <si>
    <t>ACC_CSC_014</t>
  </si>
  <si>
    <t>EV in FL mode, cut out to the right lane, no TV</t>
  </si>
  <si>
    <t>EV cut out from ego lane to the right lane, no any TV appears in the new lane</t>
  </si>
  <si>
    <t>acc_csc_014</t>
  </si>
  <si>
    <t>acc_par_014</t>
  </si>
  <si>
    <t>acc_kpi_014</t>
  </si>
  <si>
    <t>ACC_CSC_015</t>
  </si>
  <si>
    <t>EV in FL mode, cut out to left lane, slow speed TV in the new lane</t>
  </si>
  <si>
    <t>EV cut out from ego lane to the left lane, one slow TV appears in the new lane</t>
  </si>
  <si>
    <t>EV follow the new TV stably</t>
  </si>
  <si>
    <t>acc_csc_015</t>
  </si>
  <si>
    <t>acc_par_015</t>
  </si>
  <si>
    <t>acc_kpi_015</t>
  </si>
  <si>
    <t>ACC_CSC_016</t>
  </si>
  <si>
    <t>EV in FL mode, cut out to right lane, slow speed TV in the new lane</t>
  </si>
  <si>
    <t>EV cut out from ego lane to the right lane, one slow TV appears in the new lane</t>
  </si>
  <si>
    <t>acc_csc_016</t>
  </si>
  <si>
    <t>acc_par_016</t>
  </si>
  <si>
    <t>acc_kpi_016</t>
  </si>
  <si>
    <t>ACC_CSC_017</t>
  </si>
  <si>
    <t>EV in FL mode, cut out to new lane, static TV in the new lane</t>
  </si>
  <si>
    <t>EV cut out from ego lane to the new lane, one static TV appears in the new lane</t>
  </si>
  <si>
    <t>EV stop behind TV</t>
  </si>
  <si>
    <t>acc_csc_017</t>
  </si>
  <si>
    <t>acc_par_017</t>
  </si>
  <si>
    <t>acc_kpi_017</t>
  </si>
  <si>
    <t>ACC_CSC_018</t>
  </si>
  <si>
    <t>ACC_REQ_003</t>
  </si>
  <si>
    <t>EV in ACC mode and enters the bend</t>
  </si>
  <si>
    <t>EV enter the bend while the ACC mode is still activated</t>
  </si>
  <si>
    <t>Driving speed is decreased when EV enters the bend</t>
  </si>
  <si>
    <t>acc_csc_018</t>
  </si>
  <si>
    <t>acc_par_018</t>
  </si>
  <si>
    <t>[40, 60]</t>
  </si>
  <si>
    <t>acc_kpi_018</t>
  </si>
  <si>
    <t>ACC_CSC_019</t>
  </si>
  <si>
    <t>ACC_REQ_004</t>
  </si>
  <si>
    <t>EV in FL mode, turns on the left/right indicator for overtaking</t>
  </si>
  <si>
    <t>The driver turns on the L/R turn indicator, no TV at the adjacent lane</t>
  </si>
  <si>
    <t>EV increases its speed, reduces the gap distance, and reaches the target speed once the overtaking maneuver is completed.</t>
  </si>
  <si>
    <t>acc_csc_019</t>
  </si>
  <si>
    <t>acc_par_019</t>
  </si>
  <si>
    <t>acc_kpi_019</t>
  </si>
  <si>
    <t>ACC_CSC_020</t>
  </si>
  <si>
    <t>ACC_REQ_006</t>
  </si>
  <si>
    <t>EV is in FL mode, TV stops and then resumes movement within 3 seconds.</t>
  </si>
  <si>
    <t>TV stops and then resumes movement within 3 seconds.</t>
  </si>
  <si>
    <t xml:space="preserve"> EV stops behind the EV at the set gap distance and drives off when the TV resumes movement within 3 seconds.</t>
  </si>
  <si>
    <t>acc_csc_020</t>
  </si>
  <si>
    <t>acc_par_020</t>
  </si>
  <si>
    <t>[30,50]</t>
  </si>
  <si>
    <t>[20, 40]</t>
  </si>
  <si>
    <t>acc_kpi_020</t>
  </si>
  <si>
    <t>F</t>
  </si>
  <si>
    <t>ACC_REQ_005</t>
  </si>
  <si>
    <t>ACC_REQ_007</t>
  </si>
  <si>
    <t>ACC_REQ_008</t>
  </si>
  <si>
    <t>ACC_REQ_009</t>
  </si>
  <si>
    <t>P</t>
  </si>
  <si>
    <t>ACC_REQ_010</t>
  </si>
  <si>
    <t>ACC_REQ_011</t>
  </si>
  <si>
    <t>R</t>
  </si>
  <si>
    <t>ACC_REQ_012</t>
  </si>
  <si>
    <t>S</t>
  </si>
  <si>
    <t>ACC_REQ_013</t>
  </si>
  <si>
    <t>ACC_REQ_014</t>
  </si>
  <si>
    <t>ACC_REQ_015</t>
  </si>
  <si>
    <t>ACC_REQ_016</t>
  </si>
  <si>
    <t>ACC_REQ_017</t>
  </si>
  <si>
    <t>ACC_REQ_018</t>
  </si>
  <si>
    <t>ACC_REQ_019</t>
  </si>
  <si>
    <t>ACC_REQ_020</t>
  </si>
  <si>
    <t>ACC_REQ_021</t>
  </si>
  <si>
    <t>ACC_REQ_022</t>
  </si>
  <si>
    <t>ACC_REQ_023</t>
  </si>
  <si>
    <t>ACC_REQ_024</t>
  </si>
  <si>
    <t>ACC_REQ_025</t>
  </si>
  <si>
    <t>ACC_REQ_026</t>
  </si>
  <si>
    <t>ACC_REQ_027</t>
  </si>
  <si>
    <t>ACC_REQ_028</t>
  </si>
  <si>
    <t>ACC_REQ_029</t>
  </si>
  <si>
    <t>ACC_REQ_030</t>
  </si>
  <si>
    <t>ACC_REQ_031</t>
  </si>
  <si>
    <t>ACC_REQ_032</t>
  </si>
  <si>
    <t>ACC_REQ_033</t>
  </si>
  <si>
    <t>ACC_REQ_034</t>
  </si>
  <si>
    <t>ACC_REQ_035</t>
  </si>
  <si>
    <t>ACC_REQ_036</t>
  </si>
  <si>
    <t>ACC_REQ_037</t>
  </si>
  <si>
    <t>ACC_REQ_038</t>
  </si>
  <si>
    <t>ACC_REQ_039</t>
  </si>
  <si>
    <t>ACC_REQ_040</t>
  </si>
  <si>
    <t>ACC_REQ_041</t>
  </si>
  <si>
    <t>ACC_REQ_042</t>
  </si>
  <si>
    <t>ACC_REQ_043</t>
  </si>
  <si>
    <t>ACC_REQ_044</t>
  </si>
  <si>
    <t>ACC_REQ_045</t>
  </si>
  <si>
    <t>ACC_REQ_046</t>
  </si>
  <si>
    <t>ACC_REQ_047</t>
  </si>
  <si>
    <t>ACC_REQ_048</t>
  </si>
  <si>
    <t>ACC_REQ_049</t>
  </si>
  <si>
    <t>ACC_REQ_050</t>
  </si>
  <si>
    <t>ACC_REQ_051</t>
  </si>
  <si>
    <t>ACC_REQ_052</t>
  </si>
  <si>
    <t>ACC_REQ_053</t>
  </si>
  <si>
    <t>ACC_REQ_054</t>
  </si>
  <si>
    <t>ACC_REQ_055</t>
  </si>
  <si>
    <t>ACC_REQ_056</t>
  </si>
  <si>
    <t>ACC_REQ_057</t>
  </si>
  <si>
    <t>ACC_REQ_058</t>
  </si>
  <si>
    <t>ACC_REQ_059</t>
  </si>
  <si>
    <t>ACC_REQ_060</t>
  </si>
  <si>
    <t>ACC_REQ_061</t>
  </si>
  <si>
    <t>ACC_REQ_062</t>
  </si>
  <si>
    <t>ACC_REQ_063</t>
  </si>
  <si>
    <t>ACC_REQ_064</t>
  </si>
  <si>
    <t>ACC_REQ_065</t>
  </si>
  <si>
    <t>ACC_REQ_066</t>
  </si>
  <si>
    <t>ACC_REQ_067</t>
  </si>
  <si>
    <t>ACC_REQ_068</t>
  </si>
  <si>
    <t>ACC_REQ_069</t>
  </si>
  <si>
    <t>ACC_REQ_070</t>
  </si>
  <si>
    <t>ACC_REQ_071</t>
  </si>
  <si>
    <t>ACC_REQ_072</t>
  </si>
  <si>
    <t>ACC_REQ_073</t>
  </si>
  <si>
    <t>ACC_REQ_074</t>
  </si>
  <si>
    <t>Scenario_ Template</t>
  </si>
  <si>
    <t>Lane color</t>
  </si>
  <si>
    <t>Lane type</t>
  </si>
  <si>
    <t>Lane width (m)</t>
  </si>
  <si>
    <t>Slope (%)</t>
  </si>
  <si>
    <t>Parameter_Set</t>
  </si>
  <si>
    <t>LKA_SCS_001</t>
  </si>
  <si>
    <t>LKA_REQ_001/2/3/4</t>
  </si>
  <si>
    <t>LKA intervention in working speed</t>
  </si>
  <si>
    <t>LKA is enable</t>
  </si>
  <si>
    <r>
      <rPr>
        <sz val="11"/>
        <color rgb="FF000000"/>
        <rFont val="Aptos"/>
      </rPr>
      <t xml:space="preserve">1. EV run on </t>
    </r>
    <r>
      <rPr>
        <b/>
        <sz val="11"/>
        <color rgb="FF000000"/>
        <rFont val="Aptos"/>
      </rPr>
      <t xml:space="preserve">straight road
</t>
    </r>
    <r>
      <rPr>
        <sz val="11"/>
        <color rgb="FF000000"/>
        <rFont val="Aptos"/>
      </rPr>
      <t xml:space="preserve">2. EV run in a </t>
    </r>
    <r>
      <rPr>
        <b/>
        <sz val="11"/>
        <color rgb="FF000000"/>
        <rFont val="Aptos"/>
      </rPr>
      <t>slight curve</t>
    </r>
  </si>
  <si>
    <t>LKA active to pull EV back to ego lane</t>
  </si>
  <si>
    <t>lka_csc_001</t>
  </si>
  <si>
    <t>[50,100, 150]</t>
  </si>
  <si>
    <t>[clear, rain, fog]</t>
  </si>
  <si>
    <t>[White, Yellow]</t>
  </si>
  <si>
    <t>[Solid, Dash]</t>
  </si>
  <si>
    <t>LKA_SCS_002</t>
  </si>
  <si>
    <r>
      <rPr>
        <sz val="11"/>
        <color rgb="FF000000"/>
        <rFont val="Aptos"/>
      </rPr>
      <t xml:space="preserve">1. EV run on a </t>
    </r>
    <r>
      <rPr>
        <b/>
        <sz val="11"/>
        <color rgb="FF000000"/>
        <rFont val="Aptos"/>
      </rPr>
      <t xml:space="preserve">slight curve
</t>
    </r>
    <r>
      <rPr>
        <sz val="11"/>
        <color rgb="FF000000"/>
        <rFont val="Aptos"/>
      </rPr>
      <t xml:space="preserve">2. EV run in to </t>
    </r>
    <r>
      <rPr>
        <b/>
        <sz val="11"/>
        <color rgb="FF000000"/>
        <rFont val="Aptos"/>
      </rPr>
      <t>traight road</t>
    </r>
  </si>
  <si>
    <t>lka_csc_002</t>
  </si>
  <si>
    <t>LKA_SCS_003</t>
  </si>
  <si>
    <t>LKA intervention in working speed boundary</t>
  </si>
  <si>
    <t>1. EV run on straight road
2. EV run in a slight curve</t>
  </si>
  <si>
    <t>lka_csc_003</t>
  </si>
  <si>
    <t>[45,155]</t>
  </si>
  <si>
    <t>LKA_SCS_004</t>
  </si>
  <si>
    <t>LKA intervention in lane width boundary, driver slight steers to the left</t>
  </si>
  <si>
    <t>1. EV run on straight road
2. EV run in a road which lane width is in boundary value (select from Simulation Maps)
3. Put steering wheel intervene signal into EV in 1 second: slightly steer to the left</t>
  </si>
  <si>
    <t>lka_csc_004</t>
  </si>
  <si>
    <t>[2.5; 5.5]</t>
  </si>
  <si>
    <t>LKA_SCS_005</t>
  </si>
  <si>
    <t>LKA intervention in lane width boundary, driver slight steers to the right</t>
  </si>
  <si>
    <t>1. EV run on straight road
2. EV run in a road which lane width is in boundary value (select from Simulation Maps)
3. Put steering wheel intervene signal into EV in 1 second: slight steer to the right</t>
  </si>
  <si>
    <t>lka_csc_005</t>
  </si>
  <si>
    <t>LKA_SCS_006</t>
  </si>
  <si>
    <t>LKA intervention in working slope boundary, driver slight steers to the left</t>
  </si>
  <si>
    <t>1. EV run on straight road
2. EV run in a road which slope  is in boundary value (select from Simulation Maps)
3. Put steering wheel intervene signal into EV in 1 second: slight steer to the left</t>
  </si>
  <si>
    <t>lka_csc_006</t>
  </si>
  <si>
    <t>LKA_SCS_007</t>
  </si>
  <si>
    <t>LKA intervention in working slope boundary, driver slight steers to the right</t>
  </si>
  <si>
    <t>1. EV run on straight road
2. EV run in a road which slope  is in boundary value (select from Simulation Maps)
3. Put steering wheel intervene signal into EV in 1 second: slight steer to the right</t>
  </si>
  <si>
    <t>lka_csc_007</t>
  </si>
  <si>
    <t>LKA_SCS_008</t>
  </si>
  <si>
    <t>LKA intervention in curve radius boundary</t>
  </si>
  <si>
    <t>1. EV run on straight road
2. EV run in a curve which radius is in boundary value (select from Simulation Maps)</t>
  </si>
  <si>
    <t>lka_csc_008</t>
  </si>
  <si>
    <t>Target_speed (post-reduce)
(kph)</t>
  </si>
  <si>
    <t>FAEB_CSC_001</t>
  </si>
  <si>
    <t>FAEB_REQ_001
FAEB_REQ_006
FAEB_REQ_007
FAEB_REQ_008
FAEB_REQ_011</t>
  </si>
  <si>
    <t>FAEB active with moving vehicle</t>
  </si>
  <si>
    <t>AEB is On
TV is available infront of EV</t>
  </si>
  <si>
    <t>TV slowdown suddenly until EV-TV distance reach TTC</t>
  </si>
  <si>
    <t>EV brakes to stop</t>
  </si>
  <si>
    <t>FAEB_csc_001</t>
  </si>
  <si>
    <t>FAEB_par_001</t>
  </si>
  <si>
    <t>[10, 65, 120]</t>
  </si>
  <si>
    <t>[2, 13, 24]</t>
  </si>
  <si>
    <t>[car, truck, bus]</t>
  </si>
  <si>
    <t>[day, night]</t>
  </si>
  <si>
    <t>FAEB_CSC_002</t>
  </si>
  <si>
    <t>FAEB active with moving vehicle, boundary EV speed</t>
  </si>
  <si>
    <t>FAEB_csc_002</t>
  </si>
  <si>
    <t>FAEB_par_002</t>
  </si>
  <si>
    <t>[5, 130]</t>
  </si>
  <si>
    <t>[1, 26]</t>
  </si>
  <si>
    <t>FAEB_CSC_003</t>
  </si>
  <si>
    <t>FAEB_REQ_003
FAEB_REQ_006
FAEB_REQ_007
FAEB_REQ_008
FAEB_REQ_011</t>
  </si>
  <si>
    <t>FAEB active with stop vehicle</t>
  </si>
  <si>
    <t>TV is stoping, EV moves to approach TV</t>
  </si>
  <si>
    <t>FAEB_csc_003</t>
  </si>
  <si>
    <t>FAEB_par_003</t>
  </si>
  <si>
    <t>[10, 40, 75]</t>
  </si>
  <si>
    <t>FAEB_CSC_004</t>
  </si>
  <si>
    <t>FAEB active with stop vehicle, boundary EV speed</t>
  </si>
  <si>
    <t>FAEB_csc_004</t>
  </si>
  <si>
    <t>FAEB_par_004</t>
  </si>
  <si>
    <t>[5, 80]</t>
  </si>
  <si>
    <t>FAEB_CSC_005</t>
  </si>
  <si>
    <t>FAEB_REQ_003
FAEB_REQ_006
FAEB_REQ_007
FAEB_REQ_009
FAEB_REQ_011</t>
  </si>
  <si>
    <t>FAEB active with a moving VRU</t>
  </si>
  <si>
    <t>AEB is On
VRU is available infront of EV</t>
  </si>
  <si>
    <t>VRU slowdown suddenly until EV-TV distance reach TTC</t>
  </si>
  <si>
    <t>FAEB_csc_005</t>
  </si>
  <si>
    <t>FAEB_par_005</t>
  </si>
  <si>
    <t>[2, 8, 15]</t>
  </si>
  <si>
    <t>[bike, adult, child]</t>
  </si>
  <si>
    <t>FAEB_CSC_006</t>
  </si>
  <si>
    <t>FAEB active with moving VRU, boundary EV speed</t>
  </si>
  <si>
    <t>FAEB_csc_006</t>
  </si>
  <si>
    <t>FAEB_par_006</t>
  </si>
  <si>
    <t>[1, 16]</t>
  </si>
  <si>
    <t>FAEB_CSC_007</t>
  </si>
  <si>
    <t>FAEB_REQ_004
FAEB_REQ_006
FAEB_REQ_007
FAEB_REQ_009
FAEB_REQ_011</t>
  </si>
  <si>
    <t>FAEB active with a station VRU</t>
  </si>
  <si>
    <t>VRU is static, EV moves to approach VRU</t>
  </si>
  <si>
    <t>FAEB_csc_007</t>
  </si>
  <si>
    <t>FAEB_par_007</t>
  </si>
  <si>
    <t>[10, 20, 55]</t>
  </si>
  <si>
    <t>FAEB_CSC_008</t>
  </si>
  <si>
    <t>FAEB active with atation VRU, boundary EV speed</t>
  </si>
  <si>
    <t>FAEB_csc_008</t>
  </si>
  <si>
    <t>FAEB_par_008</t>
  </si>
  <si>
    <t>[5, 60]</t>
  </si>
  <si>
    <t>FAEB_CSC_009</t>
  </si>
  <si>
    <t>FAEB_REQ_005
FAEB_REQ_006
FAEB_REQ_007
FAEB_REQ_009
FAEB_REQ_011</t>
  </si>
  <si>
    <t>FAEB active with a crossing VRU</t>
  </si>
  <si>
    <t>AEB is On
EV is moving to a intersection</t>
  </si>
  <si>
    <t>VRU is crossing infront of EV
EV moves to approach VRU</t>
  </si>
  <si>
    <t>FAEB_csc_009</t>
  </si>
  <si>
    <t>FAEB_par_009</t>
  </si>
  <si>
    <t>[1,5]</t>
  </si>
  <si>
    <t>FAEB_CSC_010</t>
  </si>
  <si>
    <t>FAEB active with crossing VRU, boundary EV speed</t>
  </si>
  <si>
    <t>FAEB_csc_010</t>
  </si>
  <si>
    <t>FAEB_par_010</t>
  </si>
  <si>
    <t>FAEB_CSC_011</t>
  </si>
  <si>
    <t>FAEB_REQ_019</t>
  </si>
  <si>
    <t>AEB Overhead discrimination</t>
  </si>
  <si>
    <t>AEB is On
A hanging device which higher 4.5m from the road surface</t>
  </si>
  <si>
    <t>AEB is On
EV is moving toward the hanging device</t>
  </si>
  <si>
    <t>EV does not active FAEB</t>
  </si>
  <si>
    <t>FAEB_csc_011</t>
  </si>
  <si>
    <t>FAEB_par_011</t>
  </si>
  <si>
    <t>FAEB_CSC_012</t>
  </si>
  <si>
    <t>FAEB_csc_012</t>
  </si>
  <si>
    <t>FAEB_par_012</t>
  </si>
  <si>
    <t>FAEB_CSC_013</t>
  </si>
  <si>
    <t>FAEB_csc_013</t>
  </si>
  <si>
    <t>FAEB_par_013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</si>
</sst>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b/>
      <sz val="11"/>
      <color rgb="FF000000"/>
      <name val="Aptos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9" borderId="2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ung Nguyen Van" id="{003E3673-5F2C-423B-AF3A-BC2CEBB860ED}" userId="S::tungnv68@fpt.com::ea9582d3-a5d5-4655-99d3-7a8e59ec07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5-20T07:11:55.51" personId="{003E3673-5F2C-423B-AF3A-BC2CEBB860ED}" id="{D1F914A7-BF7C-4F17-BA6C-B20F699298B3}">
    <text>reduce 80% original speed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62C0-AD12-4B42-AD64-D2449B74F4D7}">
  <dimension ref="B2:I23"/>
  <sheetViews>
    <sheetView workbookViewId="0">
      <pane xSplit="8" ySplit="2" topLeftCell="I3" activePane="bottomRight" state="frozen"/>
      <selection pane="bottomRight" activeCell="G3" sqref="G3:I3"/>
      <selection pane="bottomLeft"/>
      <selection pane="topRight"/>
    </sheetView>
  </sheetViews>
  <sheetFormatPr defaultRowHeight="15"/>
  <cols>
    <col min="4" max="4" width="33.140625" customWidth="1"/>
    <col min="5" max="5" width="17.5703125" customWidth="1"/>
    <col min="9" max="9" width="64" customWidth="1"/>
  </cols>
  <sheetData>
    <row r="2" spans="2:9">
      <c r="B2" s="29" t="s">
        <v>0</v>
      </c>
      <c r="C2" s="29"/>
      <c r="D2" s="29"/>
      <c r="E2" s="29"/>
      <c r="G2" s="30" t="s">
        <v>1</v>
      </c>
      <c r="H2" s="31"/>
      <c r="I2" s="32"/>
    </row>
    <row r="3" spans="2:9">
      <c r="B3" s="11" t="s">
        <v>2</v>
      </c>
      <c r="C3" s="11" t="s">
        <v>3</v>
      </c>
      <c r="D3" s="11" t="s">
        <v>4</v>
      </c>
      <c r="E3" s="11" t="s">
        <v>5</v>
      </c>
      <c r="G3" s="12" t="s">
        <v>6</v>
      </c>
      <c r="H3" s="12" t="s">
        <v>3</v>
      </c>
      <c r="I3" s="12" t="s">
        <v>7</v>
      </c>
    </row>
    <row r="4" spans="2:9">
      <c r="B4" s="2">
        <v>1</v>
      </c>
      <c r="C4" s="4" t="s">
        <v>8</v>
      </c>
      <c r="D4" s="1" t="s">
        <v>9</v>
      </c>
      <c r="E4" s="3"/>
      <c r="G4" s="1"/>
      <c r="H4" s="1"/>
      <c r="I4" s="1"/>
    </row>
    <row r="5" spans="2:9">
      <c r="B5" s="2">
        <v>2</v>
      </c>
      <c r="C5" s="5" t="s">
        <v>10</v>
      </c>
      <c r="D5" s="1" t="s">
        <v>11</v>
      </c>
      <c r="E5" s="3"/>
      <c r="G5" s="1"/>
      <c r="H5" s="1"/>
      <c r="I5" s="1"/>
    </row>
    <row r="6" spans="2:9">
      <c r="B6" s="2">
        <v>3</v>
      </c>
      <c r="C6" s="5" t="s">
        <v>12</v>
      </c>
      <c r="D6" s="1" t="s">
        <v>13</v>
      </c>
      <c r="E6" s="3"/>
      <c r="G6" s="1"/>
      <c r="H6" s="1"/>
      <c r="I6" s="1"/>
    </row>
    <row r="7" spans="2:9">
      <c r="B7" s="2">
        <v>4</v>
      </c>
      <c r="C7" s="5" t="s">
        <v>14</v>
      </c>
      <c r="D7" s="1" t="s">
        <v>15</v>
      </c>
      <c r="E7" s="3"/>
      <c r="G7" s="1"/>
      <c r="H7" s="1"/>
      <c r="I7" s="1"/>
    </row>
    <row r="8" spans="2:9">
      <c r="B8" s="2">
        <v>5</v>
      </c>
      <c r="C8" s="6" t="s">
        <v>16</v>
      </c>
      <c r="D8" s="1" t="s">
        <v>17</v>
      </c>
      <c r="E8" s="3"/>
    </row>
    <row r="9" spans="2:9">
      <c r="B9" s="2">
        <v>6</v>
      </c>
      <c r="C9" s="6" t="s">
        <v>18</v>
      </c>
      <c r="D9" s="1" t="s">
        <v>19</v>
      </c>
      <c r="E9" s="3"/>
    </row>
    <row r="10" spans="2:9">
      <c r="B10" s="2">
        <v>7</v>
      </c>
      <c r="C10" s="6" t="s">
        <v>20</v>
      </c>
      <c r="D10" s="1" t="s">
        <v>21</v>
      </c>
      <c r="E10" s="3"/>
    </row>
    <row r="11" spans="2:9">
      <c r="B11" s="2">
        <v>8</v>
      </c>
      <c r="C11" s="7" t="s">
        <v>22</v>
      </c>
      <c r="D11" s="1" t="s">
        <v>23</v>
      </c>
      <c r="E11" s="3"/>
    </row>
    <row r="12" spans="2:9">
      <c r="B12" s="2">
        <v>9</v>
      </c>
      <c r="C12" s="7" t="s">
        <v>24</v>
      </c>
      <c r="D12" s="1" t="s">
        <v>25</v>
      </c>
      <c r="E12" s="3"/>
    </row>
    <row r="13" spans="2:9">
      <c r="B13" s="2">
        <v>10</v>
      </c>
      <c r="C13" s="7" t="s">
        <v>26</v>
      </c>
      <c r="D13" s="1" t="s">
        <v>27</v>
      </c>
      <c r="E13" s="3"/>
    </row>
    <row r="14" spans="2:9">
      <c r="B14" s="2">
        <v>11</v>
      </c>
      <c r="C14" s="7" t="s">
        <v>28</v>
      </c>
      <c r="D14" s="1" t="s">
        <v>29</v>
      </c>
      <c r="E14" s="3"/>
    </row>
    <row r="15" spans="2:9">
      <c r="B15" s="2">
        <v>12</v>
      </c>
      <c r="C15" s="9" t="s">
        <v>30</v>
      </c>
      <c r="D15" s="1" t="s">
        <v>31</v>
      </c>
      <c r="E15" s="3"/>
    </row>
    <row r="16" spans="2:9">
      <c r="B16" s="2">
        <v>13</v>
      </c>
      <c r="C16" s="9" t="s">
        <v>32</v>
      </c>
      <c r="D16" s="1" t="s">
        <v>33</v>
      </c>
      <c r="E16" s="3"/>
    </row>
    <row r="17" spans="2:5">
      <c r="B17" s="2">
        <v>14</v>
      </c>
      <c r="C17" s="8" t="s">
        <v>34</v>
      </c>
      <c r="D17" s="1" t="s">
        <v>35</v>
      </c>
      <c r="E17" s="3"/>
    </row>
    <row r="18" spans="2:5">
      <c r="B18" s="2">
        <v>15</v>
      </c>
      <c r="C18" s="8" t="s">
        <v>36</v>
      </c>
      <c r="D18" s="1" t="s">
        <v>37</v>
      </c>
      <c r="E18" s="3"/>
    </row>
    <row r="19" spans="2:5">
      <c r="B19" s="2">
        <v>16</v>
      </c>
      <c r="C19" s="8" t="s">
        <v>38</v>
      </c>
      <c r="D19" s="1" t="s">
        <v>39</v>
      </c>
      <c r="E19" s="3"/>
    </row>
    <row r="20" spans="2:5">
      <c r="B20" s="2">
        <v>17</v>
      </c>
      <c r="C20" s="10" t="s">
        <v>40</v>
      </c>
      <c r="D20" s="1" t="s">
        <v>41</v>
      </c>
      <c r="E20" s="3"/>
    </row>
    <row r="21" spans="2:5">
      <c r="B21" s="2">
        <v>18</v>
      </c>
      <c r="C21" s="10" t="s">
        <v>42</v>
      </c>
      <c r="D21" s="1" t="s">
        <v>43</v>
      </c>
      <c r="E21" s="3"/>
    </row>
    <row r="22" spans="2:5">
      <c r="B22" s="2">
        <v>19</v>
      </c>
      <c r="C22" s="10" t="s">
        <v>44</v>
      </c>
      <c r="D22" s="1" t="s">
        <v>45</v>
      </c>
      <c r="E22" s="3"/>
    </row>
    <row r="23" spans="2:5">
      <c r="B23" s="2">
        <v>20</v>
      </c>
      <c r="C23" s="2" t="s">
        <v>46</v>
      </c>
      <c r="D23" s="1" t="s">
        <v>47</v>
      </c>
      <c r="E23" s="3"/>
    </row>
  </sheetData>
  <mergeCells count="2">
    <mergeCell ref="B2:E2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2B19-4DB5-4F87-87D1-7E5660A78B7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A017-7D2C-4522-A381-13743C4B6920}">
  <sheetPr>
    <tabColor rgb="FFFFFF00"/>
  </sheetPr>
  <dimension ref="B2:R25"/>
  <sheetViews>
    <sheetView workbookViewId="0">
      <pane xSplit="8" ySplit="2" topLeftCell="J6" activePane="bottomRight" state="frozen"/>
      <selection pane="bottomRight" activeCell="D3" sqref="D3"/>
      <selection pane="bottomLeft"/>
      <selection pane="topRight"/>
    </sheetView>
  </sheetViews>
  <sheetFormatPr defaultRowHeight="15"/>
  <cols>
    <col min="1" max="1" width="5.5703125" style="19" customWidth="1"/>
    <col min="2" max="2" width="14.5703125" style="19" customWidth="1"/>
    <col min="3" max="3" width="16.7109375" style="19" customWidth="1"/>
    <col min="4" max="4" width="9.85546875" style="19" customWidth="1"/>
    <col min="5" max="5" width="32.140625" style="19" customWidth="1"/>
    <col min="6" max="6" width="15.140625" style="19" customWidth="1"/>
    <col min="7" max="7" width="28.42578125" style="19" customWidth="1"/>
    <col min="8" max="8" width="29.140625" style="19" customWidth="1"/>
    <col min="9" max="9" width="14.7109375" style="19" customWidth="1"/>
    <col min="10" max="10" width="16" style="19" customWidth="1"/>
    <col min="11" max="11" width="12.7109375" style="19" customWidth="1"/>
    <col min="12" max="12" width="13.5703125" style="19" customWidth="1"/>
    <col min="13" max="13" width="9.140625" style="19"/>
    <col min="14" max="14" width="16.5703125" style="19" customWidth="1"/>
    <col min="15" max="15" width="9.140625" style="19"/>
    <col min="16" max="16" width="11.85546875" style="19" customWidth="1"/>
    <col min="17" max="17" width="11.140625" style="19" customWidth="1"/>
    <col min="18" max="18" width="15.7109375" style="19" customWidth="1"/>
    <col min="19" max="16384" width="9.140625" style="19"/>
  </cols>
  <sheetData>
    <row r="2" spans="2:18" s="16" customFormat="1" ht="33" customHeight="1">
      <c r="B2" s="15" t="s">
        <v>48</v>
      </c>
      <c r="C2" s="15" t="s">
        <v>49</v>
      </c>
      <c r="D2" s="15" t="s">
        <v>50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15" t="s">
        <v>57</v>
      </c>
      <c r="L2" s="15" t="s">
        <v>58</v>
      </c>
      <c r="M2" s="15" t="s">
        <v>59</v>
      </c>
      <c r="N2" s="15" t="s">
        <v>60</v>
      </c>
      <c r="O2" s="15" t="s">
        <v>61</v>
      </c>
      <c r="P2" s="15" t="s">
        <v>62</v>
      </c>
      <c r="Q2" s="15" t="s">
        <v>63</v>
      </c>
      <c r="R2" s="15" t="s">
        <v>64</v>
      </c>
    </row>
    <row r="3" spans="2:18" ht="43.5">
      <c r="B3" s="17" t="s">
        <v>65</v>
      </c>
      <c r="C3" s="17" t="s">
        <v>66</v>
      </c>
      <c r="D3" s="18" t="str">
        <f>VLOOKUP(C3,'2.1. ACC_Requirement'!$B$3:$C$76,2,FALSE)</f>
        <v>F</v>
      </c>
      <c r="E3" s="17" t="s">
        <v>67</v>
      </c>
      <c r="F3" s="17" t="s">
        <v>68</v>
      </c>
      <c r="G3" s="17" t="s">
        <v>69</v>
      </c>
      <c r="H3" s="17" t="s">
        <v>70</v>
      </c>
      <c r="I3" s="17" t="s">
        <v>71</v>
      </c>
      <c r="J3" s="17" t="s">
        <v>72</v>
      </c>
      <c r="K3" s="17" t="s">
        <v>73</v>
      </c>
      <c r="L3" s="17" t="s">
        <v>74</v>
      </c>
      <c r="M3" s="17" t="s">
        <v>74</v>
      </c>
      <c r="N3" s="17" t="s">
        <v>74</v>
      </c>
      <c r="O3" s="17" t="s">
        <v>75</v>
      </c>
      <c r="P3" s="17" t="s">
        <v>74</v>
      </c>
      <c r="Q3" s="17" t="s">
        <v>74</v>
      </c>
      <c r="R3" s="17" t="s">
        <v>76</v>
      </c>
    </row>
    <row r="4" spans="2:18" ht="29.25">
      <c r="B4" s="17" t="s">
        <v>77</v>
      </c>
      <c r="C4" s="17" t="s">
        <v>78</v>
      </c>
      <c r="D4" s="18" t="str">
        <f>VLOOKUP(C4,'2.1. ACC_Requirement'!$B$3:$C$76,2,FALSE)</f>
        <v>F</v>
      </c>
      <c r="E4" s="17" t="s">
        <v>79</v>
      </c>
      <c r="F4" s="17" t="s">
        <v>80</v>
      </c>
      <c r="G4" s="17" t="s">
        <v>81</v>
      </c>
      <c r="H4" s="17" t="s">
        <v>82</v>
      </c>
      <c r="I4" s="17" t="s">
        <v>83</v>
      </c>
      <c r="J4" s="17" t="s">
        <v>84</v>
      </c>
      <c r="K4" s="17" t="s">
        <v>85</v>
      </c>
      <c r="L4" s="17" t="s">
        <v>86</v>
      </c>
      <c r="M4" s="17" t="s">
        <v>87</v>
      </c>
      <c r="N4" s="17" t="s">
        <v>74</v>
      </c>
      <c r="O4" s="17" t="s">
        <v>75</v>
      </c>
      <c r="P4" s="17" t="s">
        <v>74</v>
      </c>
      <c r="Q4" s="17" t="s">
        <v>74</v>
      </c>
      <c r="R4" s="17" t="s">
        <v>88</v>
      </c>
    </row>
    <row r="5" spans="2:18" ht="43.5">
      <c r="B5" s="17" t="s">
        <v>89</v>
      </c>
      <c r="C5" s="17" t="s">
        <v>78</v>
      </c>
      <c r="D5" s="18" t="str">
        <f>VLOOKUP(C5,'2.1. ACC_Requirement'!$B$3:$C$76,2,FALSE)</f>
        <v>F</v>
      </c>
      <c r="E5" s="17" t="s">
        <v>90</v>
      </c>
      <c r="F5" s="17" t="s">
        <v>80</v>
      </c>
      <c r="G5" s="17" t="s">
        <v>91</v>
      </c>
      <c r="H5" s="17" t="s">
        <v>82</v>
      </c>
      <c r="I5" s="17" t="s">
        <v>92</v>
      </c>
      <c r="J5" s="17" t="s">
        <v>93</v>
      </c>
      <c r="K5" s="17" t="s">
        <v>94</v>
      </c>
      <c r="L5" s="17" t="s">
        <v>95</v>
      </c>
      <c r="M5" s="17" t="s">
        <v>96</v>
      </c>
      <c r="N5" s="17" t="s">
        <v>74</v>
      </c>
      <c r="O5" s="17" t="s">
        <v>75</v>
      </c>
      <c r="P5" s="17" t="s">
        <v>74</v>
      </c>
      <c r="Q5" s="17" t="s">
        <v>74</v>
      </c>
      <c r="R5" s="17" t="s">
        <v>97</v>
      </c>
    </row>
    <row r="6" spans="2:18" ht="43.5">
      <c r="B6" s="17" t="s">
        <v>98</v>
      </c>
      <c r="C6" s="17" t="s">
        <v>78</v>
      </c>
      <c r="D6" s="18" t="str">
        <f>VLOOKUP(C6,'2.1. ACC_Requirement'!$B$3:$C$76,2,FALSE)</f>
        <v>F</v>
      </c>
      <c r="E6" s="17" t="s">
        <v>99</v>
      </c>
      <c r="F6" s="17" t="s">
        <v>80</v>
      </c>
      <c r="G6" s="17" t="s">
        <v>100</v>
      </c>
      <c r="H6" s="17" t="s">
        <v>82</v>
      </c>
      <c r="I6" s="17" t="s">
        <v>101</v>
      </c>
      <c r="J6" s="17" t="s">
        <v>102</v>
      </c>
      <c r="K6" s="17" t="s">
        <v>103</v>
      </c>
      <c r="L6" s="17" t="s">
        <v>104</v>
      </c>
      <c r="M6" s="17" t="s">
        <v>96</v>
      </c>
      <c r="N6" s="17" t="s">
        <v>74</v>
      </c>
      <c r="O6" s="17" t="s">
        <v>75</v>
      </c>
      <c r="P6" s="17" t="s">
        <v>105</v>
      </c>
      <c r="Q6" s="17" t="s">
        <v>106</v>
      </c>
      <c r="R6" s="17" t="s">
        <v>107</v>
      </c>
    </row>
    <row r="7" spans="2:18" ht="43.5">
      <c r="B7" s="17" t="s">
        <v>108</v>
      </c>
      <c r="C7" s="17" t="s">
        <v>78</v>
      </c>
      <c r="D7" s="18" t="str">
        <f>VLOOKUP(C7,'2.1. ACC_Requirement'!$B$3:$C$76,2,FALSE)</f>
        <v>F</v>
      </c>
      <c r="E7" s="17" t="s">
        <v>109</v>
      </c>
      <c r="F7" s="17" t="s">
        <v>110</v>
      </c>
      <c r="G7" s="17" t="s">
        <v>111</v>
      </c>
      <c r="H7" s="17" t="s">
        <v>112</v>
      </c>
      <c r="I7" s="17" t="s">
        <v>113</v>
      </c>
      <c r="J7" s="17" t="s">
        <v>114</v>
      </c>
      <c r="K7" s="17" t="s">
        <v>103</v>
      </c>
      <c r="L7" s="17" t="s">
        <v>104</v>
      </c>
      <c r="M7" s="17" t="s">
        <v>115</v>
      </c>
      <c r="N7" s="17" t="s">
        <v>74</v>
      </c>
      <c r="O7" s="17" t="s">
        <v>75</v>
      </c>
      <c r="P7" s="17" t="s">
        <v>105</v>
      </c>
      <c r="Q7" s="17" t="s">
        <v>116</v>
      </c>
      <c r="R7" s="17" t="s">
        <v>117</v>
      </c>
    </row>
    <row r="8" spans="2:18" ht="43.5">
      <c r="B8" s="17" t="s">
        <v>118</v>
      </c>
      <c r="C8" s="17" t="s">
        <v>78</v>
      </c>
      <c r="D8" s="18" t="str">
        <f>VLOOKUP(C8,'2.1. ACC_Requirement'!$B$3:$C$76,2,FALSE)</f>
        <v>F</v>
      </c>
      <c r="E8" s="17" t="s">
        <v>119</v>
      </c>
      <c r="F8" s="17" t="s">
        <v>110</v>
      </c>
      <c r="G8" s="17" t="s">
        <v>120</v>
      </c>
      <c r="H8" s="17" t="s">
        <v>112</v>
      </c>
      <c r="I8" s="17" t="s">
        <v>121</v>
      </c>
      <c r="J8" s="17" t="s">
        <v>122</v>
      </c>
      <c r="K8" s="17" t="s">
        <v>103</v>
      </c>
      <c r="L8" s="17" t="s">
        <v>104</v>
      </c>
      <c r="M8" s="17" t="s">
        <v>115</v>
      </c>
      <c r="N8" s="17" t="s">
        <v>74</v>
      </c>
      <c r="O8" s="17" t="s">
        <v>75</v>
      </c>
      <c r="P8" s="17" t="s">
        <v>105</v>
      </c>
      <c r="Q8" s="17" t="s">
        <v>116</v>
      </c>
      <c r="R8" s="17" t="s">
        <v>123</v>
      </c>
    </row>
    <row r="9" spans="2:18" ht="57.75">
      <c r="B9" s="17" t="s">
        <v>124</v>
      </c>
      <c r="C9" s="17" t="s">
        <v>78</v>
      </c>
      <c r="D9" s="18" t="str">
        <f>VLOOKUP(C9,'2.1. ACC_Requirement'!$B$3:$C$76,2,FALSE)</f>
        <v>F</v>
      </c>
      <c r="E9" s="17" t="s">
        <v>125</v>
      </c>
      <c r="F9" s="17" t="s">
        <v>110</v>
      </c>
      <c r="G9" s="20" t="s">
        <v>126</v>
      </c>
      <c r="H9" s="17" t="s">
        <v>127</v>
      </c>
      <c r="I9" s="17" t="s">
        <v>128</v>
      </c>
      <c r="J9" s="17" t="s">
        <v>129</v>
      </c>
      <c r="K9" s="17" t="s">
        <v>103</v>
      </c>
      <c r="L9" s="17" t="s">
        <v>104</v>
      </c>
      <c r="M9" s="17" t="s">
        <v>115</v>
      </c>
      <c r="N9" s="17" t="s">
        <v>74</v>
      </c>
      <c r="O9" s="17" t="s">
        <v>75</v>
      </c>
      <c r="P9" s="17" t="s">
        <v>105</v>
      </c>
      <c r="Q9" s="17" t="s">
        <v>116</v>
      </c>
      <c r="R9" s="17" t="s">
        <v>130</v>
      </c>
    </row>
    <row r="10" spans="2:18" ht="29.25">
      <c r="B10" s="17" t="s">
        <v>131</v>
      </c>
      <c r="C10" s="17" t="s">
        <v>78</v>
      </c>
      <c r="D10" s="18" t="str">
        <f>VLOOKUP(C10,'2.1. ACC_Requirement'!$B$3:$C$76,2,FALSE)</f>
        <v>F</v>
      </c>
      <c r="E10" s="17" t="s">
        <v>132</v>
      </c>
      <c r="F10" s="17" t="s">
        <v>110</v>
      </c>
      <c r="G10" s="17" t="s">
        <v>133</v>
      </c>
      <c r="H10" s="17" t="s">
        <v>134</v>
      </c>
      <c r="I10" s="17" t="s">
        <v>135</v>
      </c>
      <c r="J10" s="17" t="s">
        <v>136</v>
      </c>
      <c r="K10" s="17" t="s">
        <v>137</v>
      </c>
      <c r="L10" s="17" t="s">
        <v>138</v>
      </c>
      <c r="M10" s="17" t="s">
        <v>87</v>
      </c>
      <c r="N10" s="17" t="s">
        <v>74</v>
      </c>
      <c r="O10" s="17" t="s">
        <v>75</v>
      </c>
      <c r="P10" s="17" t="s">
        <v>105</v>
      </c>
      <c r="Q10" s="17" t="s">
        <v>74</v>
      </c>
      <c r="R10" s="17" t="s">
        <v>139</v>
      </c>
    </row>
    <row r="11" spans="2:18" ht="29.25">
      <c r="B11" s="17" t="s">
        <v>140</v>
      </c>
      <c r="C11" s="17" t="s">
        <v>78</v>
      </c>
      <c r="D11" s="18" t="str">
        <f>VLOOKUP(C11,'2.1. ACC_Requirement'!$B$3:$C$76,2,FALSE)</f>
        <v>F</v>
      </c>
      <c r="E11" s="17" t="s">
        <v>141</v>
      </c>
      <c r="F11" s="17" t="s">
        <v>110</v>
      </c>
      <c r="G11" s="17" t="s">
        <v>142</v>
      </c>
      <c r="H11" s="17" t="s">
        <v>134</v>
      </c>
      <c r="I11" s="17" t="s">
        <v>143</v>
      </c>
      <c r="J11" s="17" t="s">
        <v>144</v>
      </c>
      <c r="K11" s="17" t="s">
        <v>137</v>
      </c>
      <c r="L11" s="17" t="s">
        <v>138</v>
      </c>
      <c r="M11" s="17" t="s">
        <v>87</v>
      </c>
      <c r="N11" s="17" t="s">
        <v>74</v>
      </c>
      <c r="O11" s="17" t="s">
        <v>75</v>
      </c>
      <c r="P11" s="17" t="s">
        <v>105</v>
      </c>
      <c r="Q11" s="17" t="s">
        <v>74</v>
      </c>
      <c r="R11" s="17" t="s">
        <v>145</v>
      </c>
    </row>
    <row r="12" spans="2:18" ht="43.5">
      <c r="B12" s="17" t="s">
        <v>146</v>
      </c>
      <c r="C12" s="17" t="s">
        <v>78</v>
      </c>
      <c r="D12" s="18" t="str">
        <f>VLOOKUP(C12,'2.1. ACC_Requirement'!$B$3:$C$76,2,FALSE)</f>
        <v>F</v>
      </c>
      <c r="E12" s="17" t="s">
        <v>147</v>
      </c>
      <c r="F12" s="17" t="s">
        <v>110</v>
      </c>
      <c r="G12" s="17" t="s">
        <v>148</v>
      </c>
      <c r="H12" s="17" t="s">
        <v>149</v>
      </c>
      <c r="I12" s="17" t="s">
        <v>150</v>
      </c>
      <c r="J12" s="17" t="s">
        <v>151</v>
      </c>
      <c r="K12" s="17" t="s">
        <v>137</v>
      </c>
      <c r="L12" s="17" t="s">
        <v>138</v>
      </c>
      <c r="M12" s="17" t="s">
        <v>87</v>
      </c>
      <c r="N12" s="17" t="s">
        <v>74</v>
      </c>
      <c r="O12" s="17" t="s">
        <v>75</v>
      </c>
      <c r="P12" s="17" t="s">
        <v>105</v>
      </c>
      <c r="Q12" s="17" t="s">
        <v>74</v>
      </c>
      <c r="R12" s="17" t="s">
        <v>152</v>
      </c>
    </row>
    <row r="13" spans="2:18" ht="43.5">
      <c r="B13" s="17" t="s">
        <v>153</v>
      </c>
      <c r="C13" s="17" t="s">
        <v>78</v>
      </c>
      <c r="D13" s="18" t="str">
        <f>VLOOKUP(C13,'2.1. ACC_Requirement'!$B$3:$C$76,2,FALSE)</f>
        <v>F</v>
      </c>
      <c r="E13" s="17" t="s">
        <v>154</v>
      </c>
      <c r="F13" s="17" t="s">
        <v>110</v>
      </c>
      <c r="G13" s="17" t="s">
        <v>155</v>
      </c>
      <c r="H13" s="17" t="s">
        <v>149</v>
      </c>
      <c r="I13" s="17" t="s">
        <v>156</v>
      </c>
      <c r="J13" s="17" t="s">
        <v>157</v>
      </c>
      <c r="K13" s="17" t="s">
        <v>158</v>
      </c>
      <c r="L13" s="17" t="s">
        <v>138</v>
      </c>
      <c r="M13" s="17" t="s">
        <v>87</v>
      </c>
      <c r="N13" s="17" t="s">
        <v>74</v>
      </c>
      <c r="O13" s="17" t="s">
        <v>75</v>
      </c>
      <c r="P13" s="17" t="s">
        <v>105</v>
      </c>
      <c r="Q13" s="17" t="s">
        <v>74</v>
      </c>
      <c r="R13" s="17" t="s">
        <v>159</v>
      </c>
    </row>
    <row r="14" spans="2:18" ht="43.5">
      <c r="B14" s="17" t="s">
        <v>160</v>
      </c>
      <c r="C14" s="17" t="s">
        <v>78</v>
      </c>
      <c r="D14" s="18" t="str">
        <f>VLOOKUP(C14,'2.1. ACC_Requirement'!$B$3:$C$76,2,FALSE)</f>
        <v>F</v>
      </c>
      <c r="E14" s="17" t="s">
        <v>161</v>
      </c>
      <c r="F14" s="17" t="s">
        <v>110</v>
      </c>
      <c r="G14" s="17" t="s">
        <v>162</v>
      </c>
      <c r="H14" s="17" t="s">
        <v>163</v>
      </c>
      <c r="I14" s="17" t="s">
        <v>164</v>
      </c>
      <c r="J14" s="17" t="s">
        <v>165</v>
      </c>
      <c r="K14" s="17" t="s">
        <v>137</v>
      </c>
      <c r="L14" s="17" t="s">
        <v>138</v>
      </c>
      <c r="M14" s="17" t="s">
        <v>87</v>
      </c>
      <c r="N14" s="17" t="s">
        <v>74</v>
      </c>
      <c r="O14" s="17" t="s">
        <v>75</v>
      </c>
      <c r="P14" s="17" t="s">
        <v>105</v>
      </c>
      <c r="Q14" s="17" t="s">
        <v>74</v>
      </c>
      <c r="R14" s="17" t="s">
        <v>166</v>
      </c>
    </row>
    <row r="15" spans="2:18" ht="43.5">
      <c r="B15" s="17" t="s">
        <v>167</v>
      </c>
      <c r="C15" s="17" t="s">
        <v>78</v>
      </c>
      <c r="D15" s="18" t="str">
        <f>VLOOKUP(C15,'2.1. ACC_Requirement'!$B$3:$C$76,2,FALSE)</f>
        <v>F</v>
      </c>
      <c r="E15" s="17" t="s">
        <v>168</v>
      </c>
      <c r="F15" s="17" t="s">
        <v>110</v>
      </c>
      <c r="G15" s="17" t="s">
        <v>169</v>
      </c>
      <c r="H15" s="17" t="s">
        <v>170</v>
      </c>
      <c r="I15" s="17" t="s">
        <v>171</v>
      </c>
      <c r="J15" s="17" t="s">
        <v>172</v>
      </c>
      <c r="K15" s="17" t="s">
        <v>137</v>
      </c>
      <c r="L15" s="17" t="s">
        <v>138</v>
      </c>
      <c r="M15" s="17" t="s">
        <v>87</v>
      </c>
      <c r="N15" s="17" t="s">
        <v>74</v>
      </c>
      <c r="O15" s="17" t="s">
        <v>75</v>
      </c>
      <c r="P15" s="17" t="s">
        <v>105</v>
      </c>
      <c r="Q15" s="17" t="s">
        <v>74</v>
      </c>
      <c r="R15" s="17" t="s">
        <v>173</v>
      </c>
    </row>
    <row r="16" spans="2:18" ht="43.5">
      <c r="B16" s="17" t="s">
        <v>174</v>
      </c>
      <c r="C16" s="17" t="s">
        <v>78</v>
      </c>
      <c r="D16" s="18" t="str">
        <f>VLOOKUP(C16,'2.1. ACC_Requirement'!$B$3:$C$76,2,FALSE)</f>
        <v>F</v>
      </c>
      <c r="E16" s="17" t="s">
        <v>175</v>
      </c>
      <c r="F16" s="17" t="s">
        <v>110</v>
      </c>
      <c r="G16" s="17" t="s">
        <v>176</v>
      </c>
      <c r="H16" s="17" t="s">
        <v>170</v>
      </c>
      <c r="I16" s="17" t="s">
        <v>177</v>
      </c>
      <c r="J16" s="17" t="s">
        <v>178</v>
      </c>
      <c r="K16" s="17" t="s">
        <v>137</v>
      </c>
      <c r="L16" s="17" t="s">
        <v>138</v>
      </c>
      <c r="M16" s="17" t="s">
        <v>87</v>
      </c>
      <c r="N16" s="17" t="s">
        <v>74</v>
      </c>
      <c r="O16" s="17" t="s">
        <v>75</v>
      </c>
      <c r="P16" s="17" t="s">
        <v>105</v>
      </c>
      <c r="Q16" s="17" t="s">
        <v>74</v>
      </c>
      <c r="R16" s="17" t="s">
        <v>179</v>
      </c>
    </row>
    <row r="17" spans="2:18" ht="43.5">
      <c r="B17" s="17" t="s">
        <v>180</v>
      </c>
      <c r="C17" s="17" t="s">
        <v>78</v>
      </c>
      <c r="D17" s="18" t="str">
        <f>VLOOKUP(C17,'2.1. ACC_Requirement'!$B$3:$C$76,2,FALSE)</f>
        <v>F</v>
      </c>
      <c r="E17" s="17" t="s">
        <v>181</v>
      </c>
      <c r="F17" s="17" t="s">
        <v>110</v>
      </c>
      <c r="G17" s="17" t="s">
        <v>182</v>
      </c>
      <c r="H17" s="17" t="s">
        <v>183</v>
      </c>
      <c r="I17" s="17" t="s">
        <v>184</v>
      </c>
      <c r="J17" s="17" t="s">
        <v>185</v>
      </c>
      <c r="K17" s="17" t="s">
        <v>137</v>
      </c>
      <c r="L17" s="17" t="s">
        <v>138</v>
      </c>
      <c r="M17" s="17" t="s">
        <v>87</v>
      </c>
      <c r="N17" s="17" t="s">
        <v>74</v>
      </c>
      <c r="O17" s="17" t="s">
        <v>75</v>
      </c>
      <c r="P17" s="17" t="s">
        <v>105</v>
      </c>
      <c r="Q17" s="17" t="s">
        <v>74</v>
      </c>
      <c r="R17" s="17" t="s">
        <v>186</v>
      </c>
    </row>
    <row r="18" spans="2:18" ht="43.5">
      <c r="B18" s="17" t="s">
        <v>187</v>
      </c>
      <c r="C18" s="17" t="s">
        <v>78</v>
      </c>
      <c r="D18" s="18" t="str">
        <f>VLOOKUP(C18,'2.1. ACC_Requirement'!$B$3:$C$76,2,FALSE)</f>
        <v>F</v>
      </c>
      <c r="E18" s="17" t="s">
        <v>188</v>
      </c>
      <c r="F18" s="17" t="s">
        <v>110</v>
      </c>
      <c r="G18" s="17" t="s">
        <v>189</v>
      </c>
      <c r="H18" s="17" t="s">
        <v>183</v>
      </c>
      <c r="I18" s="17" t="s">
        <v>190</v>
      </c>
      <c r="J18" s="17" t="s">
        <v>191</v>
      </c>
      <c r="K18" s="17" t="s">
        <v>137</v>
      </c>
      <c r="L18" s="17" t="s">
        <v>138</v>
      </c>
      <c r="M18" s="17" t="s">
        <v>87</v>
      </c>
      <c r="N18" s="17" t="s">
        <v>74</v>
      </c>
      <c r="O18" s="17" t="s">
        <v>75</v>
      </c>
      <c r="P18" s="17" t="s">
        <v>105</v>
      </c>
      <c r="Q18" s="17" t="s">
        <v>74</v>
      </c>
      <c r="R18" s="17" t="s">
        <v>192</v>
      </c>
    </row>
    <row r="19" spans="2:18" ht="43.5">
      <c r="B19" s="17" t="s">
        <v>193</v>
      </c>
      <c r="C19" s="17" t="s">
        <v>78</v>
      </c>
      <c r="D19" s="18" t="str">
        <f>VLOOKUP(C19,'2.1. ACC_Requirement'!$B$3:$C$76,2,FALSE)</f>
        <v>F</v>
      </c>
      <c r="E19" s="17" t="s">
        <v>194</v>
      </c>
      <c r="F19" s="17" t="s">
        <v>110</v>
      </c>
      <c r="G19" s="17" t="s">
        <v>195</v>
      </c>
      <c r="H19" s="17" t="s">
        <v>196</v>
      </c>
      <c r="I19" s="17" t="s">
        <v>197</v>
      </c>
      <c r="J19" s="17" t="s">
        <v>198</v>
      </c>
      <c r="K19" s="17" t="s">
        <v>137</v>
      </c>
      <c r="L19" s="17" t="s">
        <v>138</v>
      </c>
      <c r="M19" s="17" t="s">
        <v>87</v>
      </c>
      <c r="N19" s="17" t="s">
        <v>74</v>
      </c>
      <c r="O19" s="17" t="s">
        <v>75</v>
      </c>
      <c r="P19" s="17" t="s">
        <v>105</v>
      </c>
      <c r="Q19" s="17" t="s">
        <v>74</v>
      </c>
      <c r="R19" s="17" t="s">
        <v>199</v>
      </c>
    </row>
    <row r="20" spans="2:18" ht="29.25">
      <c r="B20" s="17" t="s">
        <v>200</v>
      </c>
      <c r="C20" s="17" t="s">
        <v>201</v>
      </c>
      <c r="D20" s="18" t="str">
        <f>VLOOKUP(C20,'2.1. ACC_Requirement'!$B$3:$C$76,2,FALSE)</f>
        <v>F</v>
      </c>
      <c r="E20" s="17" t="s">
        <v>202</v>
      </c>
      <c r="F20" s="17" t="s">
        <v>68</v>
      </c>
      <c r="G20" s="17" t="s">
        <v>203</v>
      </c>
      <c r="H20" s="17" t="s">
        <v>204</v>
      </c>
      <c r="I20" s="17" t="s">
        <v>205</v>
      </c>
      <c r="J20" s="17" t="s">
        <v>206</v>
      </c>
      <c r="K20" s="17" t="s">
        <v>207</v>
      </c>
      <c r="L20" s="17" t="s">
        <v>74</v>
      </c>
      <c r="M20" s="17" t="s">
        <v>74</v>
      </c>
      <c r="N20" s="17" t="s">
        <v>74</v>
      </c>
      <c r="O20" s="17" t="s">
        <v>75</v>
      </c>
      <c r="P20" s="17" t="s">
        <v>105</v>
      </c>
      <c r="Q20" s="17" t="s">
        <v>74</v>
      </c>
      <c r="R20" s="17" t="s">
        <v>208</v>
      </c>
    </row>
    <row r="21" spans="2:18" ht="72.75">
      <c r="B21" s="17" t="s">
        <v>209</v>
      </c>
      <c r="C21" s="17" t="s">
        <v>210</v>
      </c>
      <c r="D21" s="18" t="str">
        <f>VLOOKUP(C21,'2.1. ACC_Requirement'!$B$3:$C$76,2,FALSE)</f>
        <v>F</v>
      </c>
      <c r="E21" s="17" t="s">
        <v>211</v>
      </c>
      <c r="F21" s="17" t="s">
        <v>110</v>
      </c>
      <c r="G21" s="17" t="s">
        <v>212</v>
      </c>
      <c r="H21" s="17" t="s">
        <v>213</v>
      </c>
      <c r="I21" s="17" t="s">
        <v>214</v>
      </c>
      <c r="J21" s="17" t="s">
        <v>215</v>
      </c>
      <c r="K21" s="17" t="s">
        <v>137</v>
      </c>
      <c r="L21" s="17" t="s">
        <v>138</v>
      </c>
      <c r="M21" s="17" t="s">
        <v>87</v>
      </c>
      <c r="N21" s="17" t="s">
        <v>74</v>
      </c>
      <c r="O21" s="17" t="s">
        <v>75</v>
      </c>
      <c r="P21" s="17" t="s">
        <v>74</v>
      </c>
      <c r="Q21" s="17" t="s">
        <v>74</v>
      </c>
      <c r="R21" s="17" t="s">
        <v>216</v>
      </c>
    </row>
    <row r="22" spans="2:18" ht="57.75">
      <c r="B22" s="17" t="s">
        <v>217</v>
      </c>
      <c r="C22" s="17" t="s">
        <v>218</v>
      </c>
      <c r="D22" s="18" t="str">
        <f>VLOOKUP(C22,'2.1. ACC_Requirement'!$B$3:$C$76,2,FALSE)</f>
        <v>F</v>
      </c>
      <c r="E22" s="17" t="s">
        <v>219</v>
      </c>
      <c r="F22" s="17" t="s">
        <v>110</v>
      </c>
      <c r="G22" s="17" t="s">
        <v>220</v>
      </c>
      <c r="H22" s="17" t="s">
        <v>221</v>
      </c>
      <c r="I22" s="17" t="s">
        <v>222</v>
      </c>
      <c r="J22" s="17" t="s">
        <v>223</v>
      </c>
      <c r="K22" s="17" t="s">
        <v>224</v>
      </c>
      <c r="L22" s="17" t="s">
        <v>225</v>
      </c>
      <c r="M22" s="17" t="s">
        <v>87</v>
      </c>
      <c r="N22" s="17" t="s">
        <v>74</v>
      </c>
      <c r="O22" s="17" t="s">
        <v>75</v>
      </c>
      <c r="P22" s="17" t="s">
        <v>105</v>
      </c>
      <c r="Q22" s="17" t="s">
        <v>74</v>
      </c>
      <c r="R22" s="17" t="s">
        <v>226</v>
      </c>
    </row>
    <row r="23" spans="2:18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2:18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2:18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504A-FD67-456F-9B55-C19BED9920AF}">
  <dimension ref="B2:C76"/>
  <sheetViews>
    <sheetView workbookViewId="0">
      <selection activeCell="B3" sqref="B3"/>
    </sheetView>
  </sheetViews>
  <sheetFormatPr defaultRowHeight="15"/>
  <cols>
    <col min="2" max="2" width="20.28515625" customWidth="1"/>
  </cols>
  <sheetData>
    <row r="2" spans="2:3">
      <c r="B2" s="13" t="s">
        <v>2</v>
      </c>
      <c r="C2" s="14" t="s">
        <v>50</v>
      </c>
    </row>
    <row r="3" spans="2:3">
      <c r="B3" s="18" t="s">
        <v>66</v>
      </c>
      <c r="C3" s="2" t="s">
        <v>227</v>
      </c>
    </row>
    <row r="4" spans="2:3">
      <c r="B4" s="18" t="s">
        <v>78</v>
      </c>
      <c r="C4" s="2" t="s">
        <v>227</v>
      </c>
    </row>
    <row r="5" spans="2:3">
      <c r="B5" s="18" t="s">
        <v>201</v>
      </c>
      <c r="C5" s="2" t="s">
        <v>227</v>
      </c>
    </row>
    <row r="6" spans="2:3">
      <c r="B6" s="18" t="s">
        <v>210</v>
      </c>
      <c r="C6" s="2" t="s">
        <v>227</v>
      </c>
    </row>
    <row r="7" spans="2:3">
      <c r="B7" s="18" t="s">
        <v>228</v>
      </c>
      <c r="C7" s="2" t="s">
        <v>227</v>
      </c>
    </row>
    <row r="8" spans="2:3">
      <c r="B8" s="18" t="s">
        <v>218</v>
      </c>
      <c r="C8" s="2" t="s">
        <v>227</v>
      </c>
    </row>
    <row r="9" spans="2:3">
      <c r="B9" s="18" t="s">
        <v>229</v>
      </c>
      <c r="C9" s="2" t="s">
        <v>227</v>
      </c>
    </row>
    <row r="10" spans="2:3">
      <c r="B10" s="18" t="s">
        <v>230</v>
      </c>
      <c r="C10" s="2" t="s">
        <v>227</v>
      </c>
    </row>
    <row r="11" spans="2:3">
      <c r="B11" s="18" t="s">
        <v>231</v>
      </c>
      <c r="C11" s="2" t="s">
        <v>232</v>
      </c>
    </row>
    <row r="12" spans="2:3">
      <c r="B12" s="18" t="s">
        <v>233</v>
      </c>
      <c r="C12" s="2" t="s">
        <v>232</v>
      </c>
    </row>
    <row r="13" spans="2:3">
      <c r="B13" s="18" t="s">
        <v>234</v>
      </c>
      <c r="C13" s="2" t="s">
        <v>235</v>
      </c>
    </row>
    <row r="14" spans="2:3">
      <c r="B14" s="18" t="s">
        <v>236</v>
      </c>
      <c r="C14" s="2" t="s">
        <v>237</v>
      </c>
    </row>
    <row r="15" spans="2:3">
      <c r="B15" s="18" t="s">
        <v>238</v>
      </c>
      <c r="C15" s="2" t="s">
        <v>237</v>
      </c>
    </row>
    <row r="16" spans="2:3">
      <c r="B16" s="18" t="s">
        <v>239</v>
      </c>
      <c r="C16" s="2" t="s">
        <v>237</v>
      </c>
    </row>
    <row r="17" spans="2:3">
      <c r="B17" s="18" t="s">
        <v>240</v>
      </c>
      <c r="C17" s="2" t="s">
        <v>232</v>
      </c>
    </row>
    <row r="18" spans="2:3">
      <c r="B18" s="18" t="s">
        <v>241</v>
      </c>
      <c r="C18" s="2" t="s">
        <v>232</v>
      </c>
    </row>
    <row r="19" spans="2:3">
      <c r="B19" s="18" t="s">
        <v>242</v>
      </c>
      <c r="C19" s="2" t="s">
        <v>232</v>
      </c>
    </row>
    <row r="20" spans="2:3">
      <c r="B20" s="18" t="s">
        <v>243</v>
      </c>
      <c r="C20" s="2" t="s">
        <v>232</v>
      </c>
    </row>
    <row r="21" spans="2:3">
      <c r="B21" s="18" t="s">
        <v>244</v>
      </c>
      <c r="C21" s="2" t="s">
        <v>232</v>
      </c>
    </row>
    <row r="22" spans="2:3">
      <c r="B22" s="18" t="s">
        <v>245</v>
      </c>
      <c r="C22" s="2" t="s">
        <v>232</v>
      </c>
    </row>
    <row r="23" spans="2:3">
      <c r="B23" s="18" t="s">
        <v>246</v>
      </c>
      <c r="C23" s="2" t="s">
        <v>235</v>
      </c>
    </row>
    <row r="24" spans="2:3">
      <c r="B24" s="18" t="s">
        <v>247</v>
      </c>
      <c r="C24" s="2" t="s">
        <v>235</v>
      </c>
    </row>
    <row r="25" spans="2:3">
      <c r="B25" s="18" t="s">
        <v>248</v>
      </c>
      <c r="C25" s="2" t="s">
        <v>227</v>
      </c>
    </row>
    <row r="26" spans="2:3">
      <c r="B26" s="18" t="s">
        <v>249</v>
      </c>
      <c r="C26" s="2" t="s">
        <v>227</v>
      </c>
    </row>
    <row r="27" spans="2:3">
      <c r="B27" s="18" t="s">
        <v>250</v>
      </c>
      <c r="C27" s="2" t="s">
        <v>227</v>
      </c>
    </row>
    <row r="28" spans="2:3">
      <c r="B28" s="18" t="s">
        <v>251</v>
      </c>
      <c r="C28" s="2" t="s">
        <v>227</v>
      </c>
    </row>
    <row r="29" spans="2:3">
      <c r="B29" s="18" t="s">
        <v>252</v>
      </c>
      <c r="C29" s="2" t="s">
        <v>227</v>
      </c>
    </row>
    <row r="30" spans="2:3">
      <c r="B30" s="18" t="s">
        <v>253</v>
      </c>
      <c r="C30" s="2" t="s">
        <v>227</v>
      </c>
    </row>
    <row r="31" spans="2:3">
      <c r="B31" s="18" t="s">
        <v>254</v>
      </c>
      <c r="C31" s="2" t="s">
        <v>232</v>
      </c>
    </row>
    <row r="32" spans="2:3">
      <c r="B32" s="18" t="s">
        <v>255</v>
      </c>
      <c r="C32" s="2" t="s">
        <v>237</v>
      </c>
    </row>
    <row r="33" spans="2:3">
      <c r="B33" s="18" t="s">
        <v>256</v>
      </c>
      <c r="C33" s="2" t="s">
        <v>235</v>
      </c>
    </row>
    <row r="34" spans="2:3">
      <c r="B34" s="18" t="s">
        <v>257</v>
      </c>
      <c r="C34" s="2" t="s">
        <v>235</v>
      </c>
    </row>
    <row r="35" spans="2:3">
      <c r="B35" s="18" t="s">
        <v>258</v>
      </c>
      <c r="C35" s="2" t="s">
        <v>237</v>
      </c>
    </row>
    <row r="36" spans="2:3">
      <c r="B36" s="18" t="s">
        <v>259</v>
      </c>
      <c r="C36" s="2" t="s">
        <v>237</v>
      </c>
    </row>
    <row r="37" spans="2:3">
      <c r="B37" s="18" t="s">
        <v>260</v>
      </c>
      <c r="C37" s="2" t="s">
        <v>237</v>
      </c>
    </row>
    <row r="38" spans="2:3">
      <c r="B38" s="18" t="s">
        <v>261</v>
      </c>
      <c r="C38" s="2" t="s">
        <v>235</v>
      </c>
    </row>
    <row r="39" spans="2:3">
      <c r="B39" s="18" t="s">
        <v>262</v>
      </c>
      <c r="C39" s="2" t="s">
        <v>235</v>
      </c>
    </row>
    <row r="40" spans="2:3">
      <c r="B40" s="18" t="s">
        <v>263</v>
      </c>
      <c r="C40" s="2" t="s">
        <v>235</v>
      </c>
    </row>
    <row r="41" spans="2:3">
      <c r="B41" s="18" t="s">
        <v>264</v>
      </c>
      <c r="C41" s="2" t="s">
        <v>237</v>
      </c>
    </row>
    <row r="42" spans="2:3">
      <c r="B42" s="18" t="s">
        <v>265</v>
      </c>
      <c r="C42" s="2" t="s">
        <v>237</v>
      </c>
    </row>
    <row r="43" spans="2:3">
      <c r="B43" s="18" t="s">
        <v>266</v>
      </c>
      <c r="C43" s="2" t="s">
        <v>237</v>
      </c>
    </row>
    <row r="44" spans="2:3">
      <c r="B44" s="18" t="s">
        <v>267</v>
      </c>
      <c r="C44" s="2" t="s">
        <v>237</v>
      </c>
    </row>
    <row r="45" spans="2:3">
      <c r="B45" s="18" t="s">
        <v>268</v>
      </c>
      <c r="C45" s="2" t="s">
        <v>237</v>
      </c>
    </row>
    <row r="46" spans="2:3">
      <c r="B46" s="18" t="s">
        <v>269</v>
      </c>
      <c r="C46" s="2" t="s">
        <v>237</v>
      </c>
    </row>
    <row r="47" spans="2:3">
      <c r="B47" s="18" t="s">
        <v>270</v>
      </c>
      <c r="C47" s="2" t="s">
        <v>237</v>
      </c>
    </row>
    <row r="48" spans="2:3">
      <c r="B48" s="18" t="s">
        <v>271</v>
      </c>
      <c r="C48" s="2" t="s">
        <v>237</v>
      </c>
    </row>
    <row r="49" spans="2:3">
      <c r="B49" s="18" t="s">
        <v>272</v>
      </c>
      <c r="C49" s="2" t="s">
        <v>237</v>
      </c>
    </row>
    <row r="50" spans="2:3">
      <c r="B50" s="18" t="s">
        <v>273</v>
      </c>
      <c r="C50" s="2" t="s">
        <v>237</v>
      </c>
    </row>
    <row r="51" spans="2:3">
      <c r="B51" s="18" t="s">
        <v>274</v>
      </c>
      <c r="C51" s="2" t="s">
        <v>237</v>
      </c>
    </row>
    <row r="52" spans="2:3">
      <c r="B52" s="18" t="s">
        <v>275</v>
      </c>
      <c r="C52" s="2" t="s">
        <v>237</v>
      </c>
    </row>
    <row r="53" spans="2:3">
      <c r="B53" s="18" t="s">
        <v>276</v>
      </c>
      <c r="C53" s="2" t="s">
        <v>237</v>
      </c>
    </row>
    <row r="54" spans="2:3">
      <c r="B54" s="18" t="s">
        <v>277</v>
      </c>
      <c r="C54" s="2" t="s">
        <v>237</v>
      </c>
    </row>
    <row r="55" spans="2:3">
      <c r="B55" s="18" t="s">
        <v>278</v>
      </c>
      <c r="C55" s="2" t="s">
        <v>237</v>
      </c>
    </row>
    <row r="56" spans="2:3">
      <c r="B56" s="18" t="s">
        <v>279</v>
      </c>
      <c r="C56" s="2" t="s">
        <v>237</v>
      </c>
    </row>
    <row r="57" spans="2:3">
      <c r="B57" s="18" t="s">
        <v>280</v>
      </c>
      <c r="C57" s="2" t="s">
        <v>237</v>
      </c>
    </row>
    <row r="58" spans="2:3">
      <c r="B58" s="18" t="s">
        <v>281</v>
      </c>
      <c r="C58" s="2" t="s">
        <v>237</v>
      </c>
    </row>
    <row r="59" spans="2:3">
      <c r="B59" s="18" t="s">
        <v>282</v>
      </c>
      <c r="C59" s="2" t="s">
        <v>237</v>
      </c>
    </row>
    <row r="60" spans="2:3">
      <c r="B60" s="18" t="s">
        <v>283</v>
      </c>
      <c r="C60" s="2" t="s">
        <v>237</v>
      </c>
    </row>
    <row r="61" spans="2:3">
      <c r="B61" s="18" t="s">
        <v>284</v>
      </c>
      <c r="C61" s="2" t="s">
        <v>237</v>
      </c>
    </row>
    <row r="62" spans="2:3">
      <c r="B62" s="18" t="s">
        <v>285</v>
      </c>
      <c r="C62" s="2" t="s">
        <v>237</v>
      </c>
    </row>
    <row r="63" spans="2:3">
      <c r="B63" s="18" t="s">
        <v>286</v>
      </c>
      <c r="C63" s="2" t="s">
        <v>237</v>
      </c>
    </row>
    <row r="64" spans="2:3">
      <c r="B64" s="18" t="s">
        <v>287</v>
      </c>
      <c r="C64" s="2" t="s">
        <v>237</v>
      </c>
    </row>
    <row r="65" spans="2:3">
      <c r="B65" s="18" t="s">
        <v>288</v>
      </c>
      <c r="C65" s="2" t="s">
        <v>237</v>
      </c>
    </row>
    <row r="66" spans="2:3">
      <c r="B66" s="18" t="s">
        <v>289</v>
      </c>
      <c r="C66" s="2" t="s">
        <v>237</v>
      </c>
    </row>
    <row r="67" spans="2:3">
      <c r="B67" s="18" t="s">
        <v>290</v>
      </c>
      <c r="C67" s="2" t="s">
        <v>237</v>
      </c>
    </row>
    <row r="68" spans="2:3">
      <c r="B68" s="18" t="s">
        <v>291</v>
      </c>
      <c r="C68" s="2" t="s">
        <v>237</v>
      </c>
    </row>
    <row r="69" spans="2:3">
      <c r="B69" s="18" t="s">
        <v>292</v>
      </c>
      <c r="C69" s="2" t="s">
        <v>237</v>
      </c>
    </row>
    <row r="70" spans="2:3">
      <c r="B70" s="18" t="s">
        <v>293</v>
      </c>
      <c r="C70" s="2" t="s">
        <v>237</v>
      </c>
    </row>
    <row r="71" spans="2:3">
      <c r="B71" s="18" t="s">
        <v>294</v>
      </c>
      <c r="C71" s="2" t="s">
        <v>235</v>
      </c>
    </row>
    <row r="72" spans="2:3">
      <c r="B72" s="18" t="s">
        <v>295</v>
      </c>
      <c r="C72" s="2" t="s">
        <v>235</v>
      </c>
    </row>
    <row r="73" spans="2:3">
      <c r="B73" s="18" t="s">
        <v>296</v>
      </c>
      <c r="C73" s="2" t="s">
        <v>237</v>
      </c>
    </row>
    <row r="74" spans="2:3">
      <c r="B74" s="18" t="s">
        <v>297</v>
      </c>
      <c r="C74" s="2" t="s">
        <v>227</v>
      </c>
    </row>
    <row r="75" spans="2:3">
      <c r="B75" s="18" t="s">
        <v>298</v>
      </c>
      <c r="C75" s="2" t="s">
        <v>232</v>
      </c>
    </row>
    <row r="76" spans="2:3">
      <c r="B76" s="18" t="s">
        <v>299</v>
      </c>
      <c r="C76" s="2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B19D-C666-475B-A543-BDB274CB5B0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7C54-75B7-44EC-B586-773C7740750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6150-E62F-435A-B718-B2EA16FABF7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64B5-0E87-4471-A838-521EBF6D60FB}">
  <sheetPr>
    <tabColor rgb="FFFFFF00"/>
  </sheetPr>
  <dimension ref="A2:S10"/>
  <sheetViews>
    <sheetView workbookViewId="0">
      <pane xSplit="12" ySplit="2" topLeftCell="M3" activePane="bottomRight" state="frozen"/>
      <selection pane="bottomRight" activeCell="H8" sqref="H8"/>
      <selection pane="bottomLeft"/>
      <selection pane="topRight"/>
    </sheetView>
  </sheetViews>
  <sheetFormatPr defaultRowHeight="15"/>
  <cols>
    <col min="1" max="1" width="4.42578125" customWidth="1"/>
    <col min="2" max="2" width="14.28515625" customWidth="1"/>
    <col min="3" max="3" width="13.5703125" customWidth="1"/>
    <col min="5" max="5" width="21" customWidth="1"/>
    <col min="6" max="6" width="15" customWidth="1"/>
    <col min="7" max="7" width="42.7109375" customWidth="1"/>
    <col min="8" max="8" width="20.42578125" customWidth="1"/>
    <col min="9" max="9" width="15.140625" customWidth="1"/>
    <col min="13" max="13" width="9" customWidth="1"/>
    <col min="18" max="18" width="12" customWidth="1"/>
  </cols>
  <sheetData>
    <row r="2" spans="1:19" ht="43.5">
      <c r="A2" s="16"/>
      <c r="B2" s="15" t="s">
        <v>48</v>
      </c>
      <c r="C2" s="15" t="s">
        <v>49</v>
      </c>
      <c r="D2" s="15" t="s">
        <v>50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300</v>
      </c>
      <c r="J2" s="15" t="s">
        <v>57</v>
      </c>
      <c r="K2" s="15" t="s">
        <v>61</v>
      </c>
      <c r="L2" s="15" t="s">
        <v>63</v>
      </c>
      <c r="M2" s="15" t="s">
        <v>301</v>
      </c>
      <c r="N2" s="15" t="s">
        <v>302</v>
      </c>
      <c r="O2" s="15" t="s">
        <v>303</v>
      </c>
      <c r="P2" s="15" t="s">
        <v>304</v>
      </c>
      <c r="Q2" s="15" t="s">
        <v>62</v>
      </c>
      <c r="R2" s="15" t="s">
        <v>305</v>
      </c>
      <c r="S2" s="15" t="s">
        <v>64</v>
      </c>
    </row>
    <row r="3" spans="1:19" ht="57.75">
      <c r="A3" s="19"/>
      <c r="B3" s="17" t="s">
        <v>306</v>
      </c>
      <c r="C3" s="17" t="s">
        <v>307</v>
      </c>
      <c r="D3" s="18" t="s">
        <v>227</v>
      </c>
      <c r="E3" s="17" t="s">
        <v>308</v>
      </c>
      <c r="F3" s="17" t="s">
        <v>309</v>
      </c>
      <c r="G3" s="21" t="s">
        <v>310</v>
      </c>
      <c r="H3" s="17" t="s">
        <v>311</v>
      </c>
      <c r="I3" s="17" t="s">
        <v>312</v>
      </c>
      <c r="J3" s="17" t="s">
        <v>313</v>
      </c>
      <c r="K3" s="17" t="s">
        <v>75</v>
      </c>
      <c r="L3" s="17" t="s">
        <v>314</v>
      </c>
      <c r="M3" s="17" t="s">
        <v>315</v>
      </c>
      <c r="N3" s="17" t="s">
        <v>316</v>
      </c>
      <c r="O3" s="17" t="s">
        <v>74</v>
      </c>
      <c r="P3" s="17" t="s">
        <v>74</v>
      </c>
      <c r="Q3" s="17" t="s">
        <v>74</v>
      </c>
      <c r="R3" s="17"/>
      <c r="S3" s="17"/>
    </row>
    <row r="4" spans="1:19" ht="57.75">
      <c r="A4" s="19"/>
      <c r="B4" s="17" t="s">
        <v>317</v>
      </c>
      <c r="C4" s="17" t="s">
        <v>307</v>
      </c>
      <c r="D4" s="18" t="s">
        <v>227</v>
      </c>
      <c r="E4" s="17" t="s">
        <v>308</v>
      </c>
      <c r="F4" s="17" t="s">
        <v>309</v>
      </c>
      <c r="G4" s="21" t="s">
        <v>318</v>
      </c>
      <c r="H4" s="17" t="s">
        <v>311</v>
      </c>
      <c r="I4" s="17" t="s">
        <v>319</v>
      </c>
      <c r="J4" s="17" t="s">
        <v>313</v>
      </c>
      <c r="K4" s="17" t="s">
        <v>75</v>
      </c>
      <c r="L4" s="17" t="s">
        <v>314</v>
      </c>
      <c r="M4" s="17" t="s">
        <v>315</v>
      </c>
      <c r="N4" s="17" t="s">
        <v>316</v>
      </c>
      <c r="O4" s="17" t="s">
        <v>74</v>
      </c>
      <c r="P4" s="17" t="s">
        <v>74</v>
      </c>
      <c r="Q4" s="17" t="s">
        <v>74</v>
      </c>
      <c r="R4" s="17"/>
      <c r="S4" s="17"/>
    </row>
    <row r="5" spans="1:19" ht="43.5">
      <c r="A5" s="19"/>
      <c r="B5" s="17" t="s">
        <v>320</v>
      </c>
      <c r="C5" s="17" t="s">
        <v>307</v>
      </c>
      <c r="D5" s="18" t="s">
        <v>235</v>
      </c>
      <c r="E5" s="17" t="s">
        <v>321</v>
      </c>
      <c r="F5" s="17" t="s">
        <v>309</v>
      </c>
      <c r="G5" s="17" t="s">
        <v>322</v>
      </c>
      <c r="H5" s="17" t="s">
        <v>311</v>
      </c>
      <c r="I5" s="17" t="s">
        <v>323</v>
      </c>
      <c r="J5" s="17" t="s">
        <v>324</v>
      </c>
      <c r="K5" s="17" t="s">
        <v>75</v>
      </c>
      <c r="L5" s="17" t="s">
        <v>314</v>
      </c>
      <c r="M5" s="17" t="s">
        <v>315</v>
      </c>
      <c r="N5" s="17" t="s">
        <v>316</v>
      </c>
      <c r="O5" s="17" t="s">
        <v>74</v>
      </c>
      <c r="P5" s="17" t="s">
        <v>74</v>
      </c>
      <c r="Q5" s="17" t="s">
        <v>74</v>
      </c>
      <c r="R5" s="17"/>
      <c r="S5" s="17"/>
    </row>
    <row r="6" spans="1:19" ht="87">
      <c r="A6" s="19"/>
      <c r="B6" s="17" t="s">
        <v>325</v>
      </c>
      <c r="C6" s="17" t="s">
        <v>307</v>
      </c>
      <c r="D6" s="18" t="s">
        <v>235</v>
      </c>
      <c r="E6" s="17" t="s">
        <v>326</v>
      </c>
      <c r="F6" s="17" t="s">
        <v>309</v>
      </c>
      <c r="G6" s="17" t="s">
        <v>327</v>
      </c>
      <c r="H6" s="17" t="s">
        <v>311</v>
      </c>
      <c r="I6" s="17" t="s">
        <v>328</v>
      </c>
      <c r="J6" s="17" t="s">
        <v>313</v>
      </c>
      <c r="K6" s="17" t="s">
        <v>75</v>
      </c>
      <c r="L6" s="17" t="s">
        <v>314</v>
      </c>
      <c r="M6" s="17" t="s">
        <v>315</v>
      </c>
      <c r="N6" s="17" t="s">
        <v>316</v>
      </c>
      <c r="O6" s="17" t="s">
        <v>329</v>
      </c>
      <c r="P6" s="17" t="s">
        <v>74</v>
      </c>
      <c r="Q6" s="17" t="s">
        <v>74</v>
      </c>
      <c r="R6" s="17"/>
      <c r="S6" s="17"/>
    </row>
    <row r="7" spans="1:19" ht="87">
      <c r="A7" s="19"/>
      <c r="B7" s="17" t="s">
        <v>330</v>
      </c>
      <c r="C7" s="17" t="s">
        <v>307</v>
      </c>
      <c r="D7" s="18" t="s">
        <v>235</v>
      </c>
      <c r="E7" s="17" t="s">
        <v>331</v>
      </c>
      <c r="F7" s="17" t="s">
        <v>309</v>
      </c>
      <c r="G7" s="17" t="s">
        <v>332</v>
      </c>
      <c r="H7" s="17" t="s">
        <v>311</v>
      </c>
      <c r="I7" s="17" t="s">
        <v>333</v>
      </c>
      <c r="J7" s="17" t="s">
        <v>313</v>
      </c>
      <c r="K7" s="17" t="s">
        <v>75</v>
      </c>
      <c r="L7" s="17" t="s">
        <v>314</v>
      </c>
      <c r="M7" s="17" t="s">
        <v>315</v>
      </c>
      <c r="N7" s="17" t="s">
        <v>316</v>
      </c>
      <c r="O7" s="17" t="s">
        <v>329</v>
      </c>
      <c r="P7" s="17" t="s">
        <v>74</v>
      </c>
      <c r="Q7" s="17" t="s">
        <v>74</v>
      </c>
      <c r="R7" s="17"/>
      <c r="S7" s="17"/>
    </row>
    <row r="8" spans="1:19" ht="72.75">
      <c r="A8" s="19"/>
      <c r="B8" s="17" t="s">
        <v>334</v>
      </c>
      <c r="C8" s="17" t="s">
        <v>307</v>
      </c>
      <c r="D8" s="18" t="s">
        <v>235</v>
      </c>
      <c r="E8" s="17" t="s">
        <v>335</v>
      </c>
      <c r="F8" s="17" t="s">
        <v>309</v>
      </c>
      <c r="G8" s="17" t="s">
        <v>336</v>
      </c>
      <c r="H8" s="17" t="s">
        <v>311</v>
      </c>
      <c r="I8" s="17" t="s">
        <v>337</v>
      </c>
      <c r="J8" s="17" t="s">
        <v>313</v>
      </c>
      <c r="K8" s="17" t="s">
        <v>75</v>
      </c>
      <c r="L8" s="17" t="s">
        <v>314</v>
      </c>
      <c r="M8" s="17" t="s">
        <v>315</v>
      </c>
      <c r="N8" s="17" t="s">
        <v>316</v>
      </c>
      <c r="O8" s="17" t="s">
        <v>74</v>
      </c>
      <c r="P8" s="22">
        <v>0.06</v>
      </c>
      <c r="Q8" s="17" t="s">
        <v>74</v>
      </c>
      <c r="R8" s="17"/>
      <c r="S8" s="17"/>
    </row>
    <row r="9" spans="1:19" ht="72.75">
      <c r="A9" s="19"/>
      <c r="B9" s="17" t="s">
        <v>338</v>
      </c>
      <c r="C9" s="17" t="s">
        <v>307</v>
      </c>
      <c r="D9" s="18" t="s">
        <v>235</v>
      </c>
      <c r="E9" s="17" t="s">
        <v>339</v>
      </c>
      <c r="F9" s="17" t="s">
        <v>309</v>
      </c>
      <c r="G9" s="17" t="s">
        <v>340</v>
      </c>
      <c r="H9" s="17" t="s">
        <v>311</v>
      </c>
      <c r="I9" s="17" t="s">
        <v>341</v>
      </c>
      <c r="J9" s="17" t="s">
        <v>313</v>
      </c>
      <c r="K9" s="17" t="s">
        <v>75</v>
      </c>
      <c r="L9" s="17" t="s">
        <v>314</v>
      </c>
      <c r="M9" s="17" t="s">
        <v>315</v>
      </c>
      <c r="N9" s="17" t="s">
        <v>316</v>
      </c>
      <c r="O9" s="17" t="s">
        <v>74</v>
      </c>
      <c r="P9" s="22">
        <v>0.06</v>
      </c>
      <c r="Q9" s="17" t="s">
        <v>74</v>
      </c>
      <c r="R9" s="17"/>
      <c r="S9" s="17"/>
    </row>
    <row r="10" spans="1:19" ht="57.75">
      <c r="A10" s="19"/>
      <c r="B10" s="17" t="s">
        <v>342</v>
      </c>
      <c r="C10" s="17" t="s">
        <v>307</v>
      </c>
      <c r="D10" s="18" t="s">
        <v>235</v>
      </c>
      <c r="E10" s="17" t="s">
        <v>343</v>
      </c>
      <c r="F10" s="17" t="s">
        <v>309</v>
      </c>
      <c r="G10" s="17" t="s">
        <v>344</v>
      </c>
      <c r="H10" s="17" t="s">
        <v>311</v>
      </c>
      <c r="I10" s="17" t="s">
        <v>345</v>
      </c>
      <c r="J10" s="17" t="s">
        <v>313</v>
      </c>
      <c r="K10" s="17" t="s">
        <v>75</v>
      </c>
      <c r="L10" s="17" t="s">
        <v>314</v>
      </c>
      <c r="M10" s="17" t="s">
        <v>315</v>
      </c>
      <c r="N10" s="17" t="s">
        <v>316</v>
      </c>
      <c r="O10" s="17" t="s">
        <v>74</v>
      </c>
      <c r="P10" s="22" t="s">
        <v>74</v>
      </c>
      <c r="Q10" s="17">
        <v>200</v>
      </c>
      <c r="R10" s="17"/>
      <c r="S1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5AE2-2662-4C42-BEAE-EB5C4FB0BC06}">
  <sheetPr>
    <tabColor rgb="FFFFFF00"/>
  </sheetPr>
  <dimension ref="A2:R15"/>
  <sheetViews>
    <sheetView tabSelected="1" topLeftCell="A2" workbookViewId="0">
      <pane xSplit="7" ySplit="1" topLeftCell="H3" activePane="bottomRight" state="frozen"/>
      <selection pane="bottomRight" activeCell="D6" sqref="D6"/>
      <selection pane="bottomLeft"/>
      <selection pane="topRight"/>
    </sheetView>
  </sheetViews>
  <sheetFormatPr defaultRowHeight="15"/>
  <cols>
    <col min="1" max="1" width="4.42578125" style="27" customWidth="1"/>
    <col min="2" max="2" width="15.85546875" style="27" bestFit="1" customWidth="1"/>
    <col min="3" max="3" width="21.42578125" style="27" customWidth="1"/>
    <col min="4" max="4" width="9.140625" style="28"/>
    <col min="5" max="5" width="27.42578125" style="27" customWidth="1"/>
    <col min="6" max="6" width="28.42578125" style="27" customWidth="1"/>
    <col min="7" max="7" width="30" style="27" customWidth="1"/>
    <col min="8" max="8" width="19" style="27" customWidth="1"/>
    <col min="9" max="9" width="17" style="27" customWidth="1"/>
    <col min="10" max="10" width="16.140625" style="27" customWidth="1"/>
    <col min="11" max="11" width="14.85546875" style="27" customWidth="1"/>
    <col min="12" max="12" width="15.42578125" style="27" customWidth="1"/>
    <col min="13" max="13" width="15.7109375" style="27" customWidth="1"/>
    <col min="14" max="14" width="13.42578125" style="27" customWidth="1"/>
    <col min="15" max="15" width="12.42578125" style="27" customWidth="1"/>
    <col min="16" max="16" width="9.140625" style="27"/>
    <col min="17" max="17" width="18.28515625" style="27" customWidth="1"/>
    <col min="18" max="16384" width="9.140625" style="27"/>
  </cols>
  <sheetData>
    <row r="2" spans="1:18" ht="43.5">
      <c r="A2" s="26"/>
      <c r="B2" s="23" t="s">
        <v>48</v>
      </c>
      <c r="C2" s="23" t="s">
        <v>49</v>
      </c>
      <c r="D2" s="23" t="s">
        <v>50</v>
      </c>
      <c r="E2" s="23" t="s">
        <v>51</v>
      </c>
      <c r="F2" s="23" t="s">
        <v>52</v>
      </c>
      <c r="G2" s="23" t="s">
        <v>53</v>
      </c>
      <c r="H2" s="23" t="s">
        <v>54</v>
      </c>
      <c r="I2" s="23" t="s">
        <v>55</v>
      </c>
      <c r="J2" s="23" t="s">
        <v>56</v>
      </c>
      <c r="K2" s="23" t="s">
        <v>57</v>
      </c>
      <c r="L2" s="23" t="s">
        <v>346</v>
      </c>
      <c r="M2" s="23" t="s">
        <v>59</v>
      </c>
      <c r="N2" s="23" t="s">
        <v>61</v>
      </c>
      <c r="O2" s="23" t="s">
        <v>63</v>
      </c>
      <c r="P2" s="23" t="s">
        <v>60</v>
      </c>
      <c r="Q2" s="23" t="s">
        <v>62</v>
      </c>
      <c r="R2" s="23" t="s">
        <v>64</v>
      </c>
    </row>
    <row r="3" spans="1:18" ht="29.25" customHeight="1">
      <c r="B3" s="25" t="s">
        <v>347</v>
      </c>
      <c r="C3" s="24" t="s">
        <v>348</v>
      </c>
      <c r="D3" s="24" t="s">
        <v>227</v>
      </c>
      <c r="E3" s="25" t="s">
        <v>349</v>
      </c>
      <c r="F3" s="25" t="s">
        <v>350</v>
      </c>
      <c r="G3" s="25" t="s">
        <v>351</v>
      </c>
      <c r="H3" s="25" t="s">
        <v>352</v>
      </c>
      <c r="I3" s="25" t="s">
        <v>353</v>
      </c>
      <c r="J3" s="25" t="s">
        <v>354</v>
      </c>
      <c r="K3" s="25" t="s">
        <v>355</v>
      </c>
      <c r="L3" s="25" t="s">
        <v>356</v>
      </c>
      <c r="M3" s="25" t="s">
        <v>357</v>
      </c>
      <c r="N3" s="25" t="s">
        <v>358</v>
      </c>
      <c r="O3" s="25" t="s">
        <v>314</v>
      </c>
      <c r="P3" s="24" t="s">
        <v>74</v>
      </c>
      <c r="Q3" s="24" t="s">
        <v>74</v>
      </c>
      <c r="R3" s="24" t="s">
        <v>74</v>
      </c>
    </row>
    <row r="4" spans="1:18" ht="29.25" customHeight="1">
      <c r="B4" s="25" t="s">
        <v>359</v>
      </c>
      <c r="C4" s="24" t="s">
        <v>348</v>
      </c>
      <c r="D4" s="24" t="s">
        <v>235</v>
      </c>
      <c r="E4" s="25" t="s">
        <v>360</v>
      </c>
      <c r="F4" s="25" t="s">
        <v>350</v>
      </c>
      <c r="G4" s="25" t="s">
        <v>351</v>
      </c>
      <c r="H4" s="25" t="s">
        <v>352</v>
      </c>
      <c r="I4" s="25" t="s">
        <v>361</v>
      </c>
      <c r="J4" s="25" t="s">
        <v>362</v>
      </c>
      <c r="K4" s="25" t="s">
        <v>363</v>
      </c>
      <c r="L4" s="25" t="s">
        <v>364</v>
      </c>
      <c r="M4" s="25" t="s">
        <v>357</v>
      </c>
      <c r="N4" s="25" t="s">
        <v>358</v>
      </c>
      <c r="O4" s="25" t="s">
        <v>314</v>
      </c>
      <c r="P4" s="24" t="s">
        <v>74</v>
      </c>
      <c r="Q4" s="24" t="s">
        <v>74</v>
      </c>
      <c r="R4" s="24" t="s">
        <v>74</v>
      </c>
    </row>
    <row r="5" spans="1:18" ht="29.25" customHeight="1">
      <c r="B5" s="25" t="s">
        <v>365</v>
      </c>
      <c r="C5" s="24" t="s">
        <v>366</v>
      </c>
      <c r="D5" s="24" t="s">
        <v>227</v>
      </c>
      <c r="E5" s="25" t="s">
        <v>367</v>
      </c>
      <c r="F5" s="25" t="s">
        <v>350</v>
      </c>
      <c r="G5" s="25" t="s">
        <v>368</v>
      </c>
      <c r="H5" s="25" t="s">
        <v>352</v>
      </c>
      <c r="I5" s="25" t="s">
        <v>369</v>
      </c>
      <c r="J5" s="25" t="s">
        <v>370</v>
      </c>
      <c r="K5" s="25" t="s">
        <v>371</v>
      </c>
      <c r="L5" s="25">
        <v>0</v>
      </c>
      <c r="M5" s="25" t="s">
        <v>357</v>
      </c>
      <c r="N5" s="25" t="s">
        <v>358</v>
      </c>
      <c r="O5" s="25" t="s">
        <v>314</v>
      </c>
      <c r="P5" s="24" t="s">
        <v>74</v>
      </c>
      <c r="Q5" s="24" t="s">
        <v>74</v>
      </c>
      <c r="R5" s="24" t="s">
        <v>74</v>
      </c>
    </row>
    <row r="6" spans="1:18" ht="28.5" customHeight="1">
      <c r="B6" s="25" t="s">
        <v>372</v>
      </c>
      <c r="C6" s="24" t="s">
        <v>366</v>
      </c>
      <c r="D6" s="24" t="s">
        <v>235</v>
      </c>
      <c r="E6" s="25" t="s">
        <v>373</v>
      </c>
      <c r="F6" s="25" t="s">
        <v>350</v>
      </c>
      <c r="G6" s="25" t="s">
        <v>368</v>
      </c>
      <c r="H6" s="25" t="s">
        <v>352</v>
      </c>
      <c r="I6" s="25" t="s">
        <v>374</v>
      </c>
      <c r="J6" s="25" t="s">
        <v>375</v>
      </c>
      <c r="K6" s="25" t="s">
        <v>376</v>
      </c>
      <c r="L6" s="25">
        <v>0</v>
      </c>
      <c r="M6" s="25" t="s">
        <v>357</v>
      </c>
      <c r="N6" s="25" t="s">
        <v>358</v>
      </c>
      <c r="O6" s="25" t="s">
        <v>314</v>
      </c>
      <c r="P6" s="24" t="s">
        <v>74</v>
      </c>
      <c r="Q6" s="24" t="s">
        <v>74</v>
      </c>
      <c r="R6" s="24" t="s">
        <v>74</v>
      </c>
    </row>
    <row r="7" spans="1:18" ht="28.5" customHeight="1">
      <c r="B7" s="25" t="s">
        <v>377</v>
      </c>
      <c r="C7" s="24" t="s">
        <v>378</v>
      </c>
      <c r="D7" s="24" t="s">
        <v>227</v>
      </c>
      <c r="E7" s="25" t="s">
        <v>379</v>
      </c>
      <c r="F7" s="25" t="s">
        <v>380</v>
      </c>
      <c r="G7" s="25" t="s">
        <v>381</v>
      </c>
      <c r="H7" s="25" t="s">
        <v>352</v>
      </c>
      <c r="I7" s="25" t="s">
        <v>382</v>
      </c>
      <c r="J7" s="25" t="s">
        <v>383</v>
      </c>
      <c r="K7" s="25" t="s">
        <v>371</v>
      </c>
      <c r="L7" s="25" t="s">
        <v>384</v>
      </c>
      <c r="M7" s="25" t="s">
        <v>385</v>
      </c>
      <c r="N7" s="25" t="s">
        <v>358</v>
      </c>
      <c r="O7" s="25" t="s">
        <v>314</v>
      </c>
      <c r="P7" s="24" t="s">
        <v>74</v>
      </c>
      <c r="Q7" s="24" t="s">
        <v>74</v>
      </c>
      <c r="R7" s="24" t="s">
        <v>74</v>
      </c>
    </row>
    <row r="8" spans="1:18" ht="28.5" customHeight="1">
      <c r="B8" s="25" t="s">
        <v>386</v>
      </c>
      <c r="C8" s="24" t="s">
        <v>378</v>
      </c>
      <c r="D8" s="24" t="s">
        <v>235</v>
      </c>
      <c r="E8" s="25" t="s">
        <v>387</v>
      </c>
      <c r="F8" s="25" t="s">
        <v>380</v>
      </c>
      <c r="G8" s="25" t="s">
        <v>381</v>
      </c>
      <c r="H8" s="25" t="s">
        <v>352</v>
      </c>
      <c r="I8" s="25" t="s">
        <v>388</v>
      </c>
      <c r="J8" s="25" t="s">
        <v>389</v>
      </c>
      <c r="K8" s="25" t="s">
        <v>376</v>
      </c>
      <c r="L8" s="25" t="s">
        <v>390</v>
      </c>
      <c r="M8" s="25" t="s">
        <v>385</v>
      </c>
      <c r="N8" s="25" t="s">
        <v>358</v>
      </c>
      <c r="O8" s="25" t="s">
        <v>314</v>
      </c>
      <c r="P8" s="24" t="s">
        <v>74</v>
      </c>
      <c r="Q8" s="24" t="s">
        <v>74</v>
      </c>
      <c r="R8" s="24" t="s">
        <v>74</v>
      </c>
    </row>
    <row r="9" spans="1:18" ht="28.5" customHeight="1">
      <c r="B9" s="25" t="s">
        <v>391</v>
      </c>
      <c r="C9" s="24" t="s">
        <v>392</v>
      </c>
      <c r="D9" s="24" t="s">
        <v>227</v>
      </c>
      <c r="E9" s="25" t="s">
        <v>393</v>
      </c>
      <c r="F9" s="25" t="s">
        <v>380</v>
      </c>
      <c r="G9" s="25" t="s">
        <v>394</v>
      </c>
      <c r="H9" s="25" t="s">
        <v>352</v>
      </c>
      <c r="I9" s="25" t="s">
        <v>395</v>
      </c>
      <c r="J9" s="25" t="s">
        <v>396</v>
      </c>
      <c r="K9" s="25" t="s">
        <v>397</v>
      </c>
      <c r="L9" s="25">
        <v>0</v>
      </c>
      <c r="M9" s="25" t="s">
        <v>385</v>
      </c>
      <c r="N9" s="25" t="s">
        <v>358</v>
      </c>
      <c r="O9" s="25" t="s">
        <v>314</v>
      </c>
      <c r="P9" s="24" t="s">
        <v>74</v>
      </c>
      <c r="Q9" s="24" t="s">
        <v>74</v>
      </c>
      <c r="R9" s="24" t="s">
        <v>74</v>
      </c>
    </row>
    <row r="10" spans="1:18" ht="28.5" customHeight="1">
      <c r="B10" s="25" t="s">
        <v>398</v>
      </c>
      <c r="C10" s="24" t="s">
        <v>392</v>
      </c>
      <c r="D10" s="24" t="s">
        <v>235</v>
      </c>
      <c r="E10" s="25" t="s">
        <v>399</v>
      </c>
      <c r="F10" s="25" t="s">
        <v>380</v>
      </c>
      <c r="G10" s="25" t="s">
        <v>394</v>
      </c>
      <c r="H10" s="25" t="s">
        <v>352</v>
      </c>
      <c r="I10" s="25" t="s">
        <v>400</v>
      </c>
      <c r="J10" s="25" t="s">
        <v>401</v>
      </c>
      <c r="K10" s="25" t="s">
        <v>402</v>
      </c>
      <c r="L10" s="25">
        <v>0</v>
      </c>
      <c r="M10" s="25" t="s">
        <v>385</v>
      </c>
      <c r="N10" s="25" t="s">
        <v>358</v>
      </c>
      <c r="O10" s="25" t="s">
        <v>314</v>
      </c>
      <c r="P10" s="24" t="s">
        <v>74</v>
      </c>
      <c r="Q10" s="24" t="s">
        <v>74</v>
      </c>
      <c r="R10" s="24" t="s">
        <v>74</v>
      </c>
    </row>
    <row r="11" spans="1:18" ht="28.5" customHeight="1">
      <c r="B11" s="25" t="s">
        <v>403</v>
      </c>
      <c r="C11" s="24" t="s">
        <v>404</v>
      </c>
      <c r="D11" s="24" t="s">
        <v>227</v>
      </c>
      <c r="E11" s="25" t="s">
        <v>405</v>
      </c>
      <c r="F11" s="25" t="s">
        <v>406</v>
      </c>
      <c r="G11" s="25" t="s">
        <v>407</v>
      </c>
      <c r="H11" s="25" t="s">
        <v>352</v>
      </c>
      <c r="I11" s="25" t="s">
        <v>408</v>
      </c>
      <c r="J11" s="25" t="s">
        <v>409</v>
      </c>
      <c r="K11" s="25" t="s">
        <v>397</v>
      </c>
      <c r="L11" s="25" t="s">
        <v>410</v>
      </c>
      <c r="M11" s="25" t="s">
        <v>385</v>
      </c>
      <c r="N11" s="25" t="s">
        <v>358</v>
      </c>
      <c r="O11" s="25" t="s">
        <v>314</v>
      </c>
      <c r="P11" s="24" t="s">
        <v>74</v>
      </c>
      <c r="Q11" s="24" t="s">
        <v>74</v>
      </c>
      <c r="R11" s="24" t="s">
        <v>74</v>
      </c>
    </row>
    <row r="12" spans="1:18" ht="28.5" customHeight="1">
      <c r="B12" s="25" t="s">
        <v>411</v>
      </c>
      <c r="C12" s="24" t="s">
        <v>404</v>
      </c>
      <c r="D12" s="24" t="s">
        <v>235</v>
      </c>
      <c r="E12" s="25" t="s">
        <v>412</v>
      </c>
      <c r="F12" s="25" t="s">
        <v>406</v>
      </c>
      <c r="G12" s="25" t="s">
        <v>407</v>
      </c>
      <c r="H12" s="25" t="s">
        <v>352</v>
      </c>
      <c r="I12" s="25" t="s">
        <v>413</v>
      </c>
      <c r="J12" s="25" t="s">
        <v>414</v>
      </c>
      <c r="K12" s="25" t="s">
        <v>402</v>
      </c>
      <c r="L12" s="25" t="s">
        <v>410</v>
      </c>
      <c r="M12" s="25" t="s">
        <v>385</v>
      </c>
      <c r="N12" s="25" t="s">
        <v>358</v>
      </c>
      <c r="O12" s="25" t="s">
        <v>314</v>
      </c>
      <c r="P12" s="24" t="s">
        <v>74</v>
      </c>
      <c r="Q12" s="24" t="s">
        <v>74</v>
      </c>
      <c r="R12" s="24" t="s">
        <v>74</v>
      </c>
    </row>
    <row r="13" spans="1:18" ht="43.5">
      <c r="B13" s="25" t="s">
        <v>415</v>
      </c>
      <c r="C13" s="24" t="s">
        <v>416</v>
      </c>
      <c r="D13" s="24" t="s">
        <v>227</v>
      </c>
      <c r="E13" s="25" t="s">
        <v>417</v>
      </c>
      <c r="F13" s="25" t="s">
        <v>418</v>
      </c>
      <c r="G13" s="25" t="s">
        <v>419</v>
      </c>
      <c r="H13" s="25" t="s">
        <v>420</v>
      </c>
      <c r="I13" s="25" t="s">
        <v>421</v>
      </c>
      <c r="J13" s="25" t="s">
        <v>422</v>
      </c>
      <c r="K13" s="25" t="s">
        <v>355</v>
      </c>
      <c r="L13" s="25" t="s">
        <v>74</v>
      </c>
      <c r="M13" s="25" t="s">
        <v>74</v>
      </c>
      <c r="N13" s="25" t="s">
        <v>358</v>
      </c>
      <c r="O13" s="25" t="s">
        <v>314</v>
      </c>
      <c r="P13" s="24" t="s">
        <v>74</v>
      </c>
      <c r="Q13" s="24" t="s">
        <v>74</v>
      </c>
      <c r="R13" s="24" t="s">
        <v>74</v>
      </c>
    </row>
    <row r="14" spans="1:18">
      <c r="B14" s="25" t="s">
        <v>423</v>
      </c>
      <c r="C14" s="25"/>
      <c r="D14" s="24"/>
      <c r="E14" s="25"/>
      <c r="F14" s="25"/>
      <c r="G14" s="25"/>
      <c r="H14" s="25"/>
      <c r="I14" s="25" t="s">
        <v>424</v>
      </c>
      <c r="J14" s="25" t="s">
        <v>425</v>
      </c>
      <c r="K14" s="25"/>
      <c r="L14" s="25"/>
      <c r="M14" s="25"/>
      <c r="N14" s="25"/>
      <c r="O14" s="25"/>
      <c r="P14" s="25"/>
      <c r="Q14" s="25"/>
      <c r="R14" s="25"/>
    </row>
    <row r="15" spans="1:18">
      <c r="B15" s="25" t="s">
        <v>426</v>
      </c>
      <c r="C15" s="25"/>
      <c r="D15" s="24"/>
      <c r="E15" s="25"/>
      <c r="F15" s="25"/>
      <c r="G15" s="25"/>
      <c r="H15" s="25"/>
      <c r="I15" s="25" t="s">
        <v>427</v>
      </c>
      <c r="J15" s="25" t="s">
        <v>428</v>
      </c>
      <c r="K15" s="25"/>
      <c r="L15" s="25"/>
      <c r="M15" s="25"/>
      <c r="N15" s="25"/>
      <c r="O15" s="25"/>
      <c r="P15" s="25"/>
      <c r="Q15" s="25"/>
      <c r="R15" s="25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0CB3-30A9-44A3-BE0E-C616A9EB865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F9DE-ED2F-472E-B242-69576EF1BD0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F358-AD34-441F-800F-8982869D41E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1ED4-4D71-4B4D-9B29-9DCC6A445B93}">
  <dimension ref="A1"/>
  <sheetViews>
    <sheetView workbookViewId="0">
      <selection activeCell="K22" sqref="K22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948C-BBA9-4409-8A6B-EDE86A8FA055}"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 Bui Thi</dc:creator>
  <cp:keywords/>
  <dc:description/>
  <cp:lastModifiedBy>Dat Doan Manh</cp:lastModifiedBy>
  <cp:revision/>
  <dcterms:created xsi:type="dcterms:W3CDTF">2015-06-05T18:17:20Z</dcterms:created>
  <dcterms:modified xsi:type="dcterms:W3CDTF">2026-05-21T03:10:49Z</dcterms:modified>
  <cp:category/>
  <cp:contentStatus/>
</cp:coreProperties>
</file>