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7"/>
  <workbookPr/>
  <mc:AlternateContent xmlns:mc="http://schemas.openxmlformats.org/markup-compatibility/2006">
    <mc:Choice Requires="x15">
      <x15ac:absPath xmlns:x15ac="http://schemas.microsoft.com/office/spreadsheetml/2010/11/ac" url="C:\OpenScenario\test_assets\requirements\"/>
    </mc:Choice>
  </mc:AlternateContent>
  <xr:revisionPtr revIDLastSave="630" documentId="13_ncr:1_{F5A69BD8-62CC-4032-9E11-682A20827548}" xr6:coauthVersionLast="47" xr6:coauthVersionMax="47" xr10:uidLastSave="{616AB501-4605-4C72-8F46-50223CDEE7E7}"/>
  <bookViews>
    <workbookView xWindow="-120" yWindow="-120" windowWidth="29040" windowHeight="15720" firstSheet="12" activeTab="12" xr2:uid="{00000000-000D-0000-FFFF-FFFF00000000}"/>
  </bookViews>
  <sheets>
    <sheet name="0. SUM" sheetId="3" r:id="rId1"/>
    <sheet name="1. HWA" sheetId="4" r:id="rId2"/>
    <sheet name="2. ACC" sheetId="2" r:id="rId3"/>
    <sheet name="3. TSR" sheetId="5" r:id="rId4"/>
    <sheet name="4. ISA" sheetId="6" r:id="rId5"/>
    <sheet name="5. LDW" sheetId="7" r:id="rId6"/>
    <sheet name="6. LKA" sheetId="8" r:id="rId7"/>
    <sheet name="7. ELK" sheetId="9" r:id="rId8"/>
    <sheet name="8. BSD" sheetId="10" r:id="rId9"/>
    <sheet name="9. DOW" sheetId="11" r:id="rId10"/>
    <sheet name="10. RCTA" sheetId="12" r:id="rId11"/>
    <sheet name="11. IA" sheetId="13" r:id="rId12"/>
    <sheet name="16. RAEB" sheetId="14" r:id="rId13"/>
  </sheets>
  <definedNames>
    <definedName name="_xlnm._FilterDatabase" localSheetId="2" hidden="1">'2. ACC'!$B$2:$E$2</definedName>
    <definedName name="_xlnm._FilterDatabase" localSheetId="6" hidden="1">'6. LKA'!$B$2:$F$2</definedName>
    <definedName name="_xlnm._FilterDatabase" localSheetId="12" hidden="1">'16. RAEB'!$B$2:$F$2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3" l="1"/>
</calcChain>
</file>

<file path=xl/sharedStrings.xml><?xml version="1.0" encoding="utf-8"?>
<sst xmlns="http://schemas.openxmlformats.org/spreadsheetml/2006/main" count="721" uniqueCount="489">
  <si>
    <t>Feature list</t>
  </si>
  <si>
    <t>Change History</t>
  </si>
  <si>
    <t>No.</t>
  </si>
  <si>
    <t>Feature</t>
  </si>
  <si>
    <t>Feature name</t>
  </si>
  <si>
    <t>Requirement Q'ty</t>
  </si>
  <si>
    <t>Date</t>
  </si>
  <si>
    <t>Change</t>
  </si>
  <si>
    <t>HWA</t>
  </si>
  <si>
    <t>HighWay Assist</t>
  </si>
  <si>
    <t>ACC</t>
  </si>
  <si>
    <t>Advance Cruise Control</t>
  </si>
  <si>
    <t>TSR</t>
  </si>
  <si>
    <t>Traffic Sign Recognition</t>
  </si>
  <si>
    <t>ISA</t>
  </si>
  <si>
    <t>Intelligent Speed Assist</t>
  </si>
  <si>
    <t>LDW</t>
  </si>
  <si>
    <t>Lane Departure Warning</t>
  </si>
  <si>
    <t>LKA</t>
  </si>
  <si>
    <t>Lane Keeping Assist</t>
  </si>
  <si>
    <t>ELK</t>
  </si>
  <si>
    <t>Emergency Lane Keeping</t>
  </si>
  <si>
    <t>BSD</t>
  </si>
  <si>
    <t>Blind Spot Detection</t>
  </si>
  <si>
    <t>DOW</t>
  </si>
  <si>
    <t>Door Open Warning</t>
  </si>
  <si>
    <r>
      <t>Name</t>
    </r>
    <r>
      <rPr>
        <sz val="11"/>
        <color rgb="FF000000"/>
        <rFont val="Aptos"/>
        <charset val="1"/>
      </rPr>
      <t>​</t>
    </r>
  </si>
  <si>
    <r>
      <t>Code</t>
    </r>
    <r>
      <rPr>
        <sz val="11"/>
        <color rgb="FF000000"/>
        <rFont val="Aptos"/>
        <charset val="1"/>
      </rPr>
      <t>​</t>
    </r>
  </si>
  <si>
    <r>
      <t>Meaning</t>
    </r>
    <r>
      <rPr>
        <sz val="11"/>
        <color rgb="FF000000"/>
        <rFont val="Aptos"/>
        <charset val="1"/>
      </rPr>
      <t>​</t>
    </r>
  </si>
  <si>
    <t>RCTA</t>
  </si>
  <si>
    <t>Rear Cross Traffic Alert</t>
  </si>
  <si>
    <r>
      <t>Functional Behavior</t>
    </r>
    <r>
      <rPr>
        <sz val="11"/>
        <color rgb="FF000000"/>
        <rFont val="Aptos"/>
        <charset val="1"/>
      </rPr>
      <t>​</t>
    </r>
  </si>
  <si>
    <r>
      <t>F</t>
    </r>
    <r>
      <rPr>
        <sz val="11"/>
        <color rgb="FF000000"/>
        <rFont val="Aptos"/>
        <charset val="1"/>
      </rPr>
      <t>​</t>
    </r>
  </si>
  <si>
    <t>Verifies that the feature performs its intended core functions according to the specification​</t>
  </si>
  <si>
    <t>IA</t>
  </si>
  <si>
    <t>Intersection Assist</t>
  </si>
  <si>
    <r>
      <t>State &amp; Mode Stability</t>
    </r>
    <r>
      <rPr>
        <sz val="11"/>
        <color rgb="FF000000"/>
        <rFont val="Aptos"/>
        <charset val="1"/>
      </rPr>
      <t>​</t>
    </r>
  </si>
  <si>
    <r>
      <t>S</t>
    </r>
    <r>
      <rPr>
        <sz val="11"/>
        <color rgb="FF000000"/>
        <rFont val="Aptos"/>
        <charset val="1"/>
      </rPr>
      <t>​</t>
    </r>
  </si>
  <si>
    <t>Verifies stability and correctness of state and mode transitions​</t>
  </si>
  <si>
    <t>FPA</t>
  </si>
  <si>
    <t>Front Parking Assist</t>
  </si>
  <si>
    <r>
      <t>Steady‑State Performance</t>
    </r>
    <r>
      <rPr>
        <sz val="11"/>
        <color rgb="FF000000"/>
        <rFont val="Aptos"/>
        <charset val="1"/>
      </rPr>
      <t>​</t>
    </r>
  </si>
  <si>
    <r>
      <t>P</t>
    </r>
    <r>
      <rPr>
        <sz val="11"/>
        <color rgb="FF000000"/>
        <rFont val="Aptos"/>
        <charset val="1"/>
      </rPr>
      <t>​</t>
    </r>
  </si>
  <si>
    <t>Evaluates performance of the behavior under stable operating conditions (software‑driven, HW‑independent)​</t>
  </si>
  <si>
    <t>RPA</t>
  </si>
  <si>
    <t>Rear Parking Assist</t>
  </si>
  <si>
    <r>
      <t>Logical Robustness</t>
    </r>
    <r>
      <rPr>
        <sz val="11"/>
        <color rgb="FF000000"/>
        <rFont val="Aptos"/>
        <charset val="1"/>
      </rPr>
      <t>​</t>
    </r>
  </si>
  <si>
    <r>
      <t>R</t>
    </r>
    <r>
      <rPr>
        <sz val="11"/>
        <color rgb="FF000000"/>
        <rFont val="Aptos"/>
        <charset val="1"/>
      </rPr>
      <t>​</t>
    </r>
  </si>
  <si>
    <t>Verifies correct logical behavior under boundary or edge‑case conditions​</t>
  </si>
  <si>
    <t>FCW</t>
  </si>
  <si>
    <t>Forward Collision Warning</t>
  </si>
  <si>
    <t>FAEB</t>
  </si>
  <si>
    <t>Front Automated Emergency Braking</t>
  </si>
  <si>
    <t>RAEB</t>
  </si>
  <si>
    <t>Rear Automated Emergency Braking</t>
  </si>
  <si>
    <t>SVM</t>
  </si>
  <si>
    <t>Surround View Mornitor</t>
  </si>
  <si>
    <t>DMS</t>
  </si>
  <si>
    <t>Driver Monitor System</t>
  </si>
  <si>
    <t>EDR</t>
  </si>
  <si>
    <t>Event Data Recorder</t>
  </si>
  <si>
    <t>AHB</t>
  </si>
  <si>
    <t>Auto High Beam</t>
  </si>
  <si>
    <t>ID</t>
  </si>
  <si>
    <t>Requirement</t>
  </si>
  <si>
    <t>Description</t>
  </si>
  <si>
    <t>Domain</t>
  </si>
  <si>
    <t>KPI</t>
  </si>
  <si>
    <t>ACC_REQ_001</t>
  </si>
  <si>
    <t>ACC Modes - Cruise Control Mode</t>
  </si>
  <si>
    <t>1- Active when no impeding vehicle is detected by the radar tracking algorithm or the preceding vehicle is faster than ACC speed
2- ACC adjusts the powertrain or braking system depends on the set speed given by Driver
3- ACC reacts to driver inputs in cruise mode (set speed changes and accelerator pedal override)
4- To have enough clearance to cut in safely, the system judges whether the vehicle is likely to cut into the lane according to the movement state of the vehicle not in the lane, so as to control the acceleration or deceleration of the vehicle</t>
  </si>
  <si>
    <t>F</t>
  </si>
  <si>
    <t>- Speed stability: +/-1 kph on the flat road, +/-3 kph on the slope</t>
  </si>
  <si>
    <t>ACC_REQ_002</t>
  </si>
  <si>
    <t>ACC Modes - Follow Mode</t>
  </si>
  <si>
    <t>1- Active when the radar tracking algorithm detects an impeding preceding vehicle with a driving speed lower than the ACC set speed.
2- ACC adjusts the driving speed according to the relative distance and relative speed of the target as well as the target acceleration.
3- If the vehicle in the front side lane cuts into the lane, ACC system will send a deceleration request
4- ACC reacts to Driver input of the desired headway (time gap) and accelerator / brake pedal overrides in follow mode</t>
  </si>
  <si>
    <t>- acceleration &amp; deceleration rage
- Jerk range
- TTC (if any)
- Logic: no crashing (eg: gap distance &gt;2m)</t>
  </si>
  <si>
    <t>ACC_REQ_003</t>
  </si>
  <si>
    <t>ACC Modes - Bend limit Mode</t>
  </si>
  <si>
    <t>1- Limits the acceleration of the host vehicle in bends according to the lateral 1- acceleration, yaw rate and driving speed for safety and comfort reasons.
2- ACC can take the initiative to slow down in the corner, the deceleration value depends on the vehicle lateral acceleration below</t>
  </si>
  <si>
    <t>- acceleration (in curve) &amp; deceleration rage (out of curve)
- Jerk range
- Logic: reduce speed on required range (table in spec)</t>
  </si>
  <si>
    <t>ACC_REQ_004</t>
  </si>
  <si>
    <t>ACC Modes - Overtaking Mode</t>
  </si>
  <si>
    <t>When following an impeding vehicle, ACC detects the overtaking intention of Driver when the indicator / turn signal on the left is set. ACC then starts accelerating and reducing the distance to the impeding vehicle below the desired time headway setting. When Driver changes the lane, ACC accelerates to the ACC set speed</t>
  </si>
  <si>
    <t>- acceleration (start overtaking)
- Logic: speed up  when start overtaking</t>
  </si>
  <si>
    <t>ACC_REQ_005</t>
  </si>
  <si>
    <t>ACC shall be able to recognize a stationary vehicle and decelerate without triggering the FWC/AEB if ego vehicle speed</t>
  </si>
  <si>
    <t>&lt; 60 kph</t>
  </si>
  <si>
    <t>- deceleration (start speed down)
- Logic: speed down when detected stop TV</t>
  </si>
  <si>
    <t>ACC_REQ_006</t>
  </si>
  <si>
    <t>ACC shall drive off automatically after full stop if the lead vehicle drives off within</t>
  </si>
  <si>
    <t>&lt; 3 seconds</t>
  </si>
  <si>
    <t>- acceleration (EV Go): &lt;= 4 m/s2
- deceleration (EV Stop): &lt;= 5m/s2
- Jerk range: &lt;= 5m/s3
- TTC (if any)
- Logic: no crashing (eg: gap distance &gt;2m)</t>
  </si>
  <si>
    <t>ACC_REQ_007</t>
  </si>
  <si>
    <t>ACC will be cancelled if ACC has followed leading vehicle to stop for</t>
  </si>
  <si>
    <t>&gt;= 5 min</t>
  </si>
  <si>
    <t>ACC_REQ_008</t>
  </si>
  <si>
    <t>The driver can resume ACC feature using resume button or tap on the gas pedal, if the vehicle is at stop between</t>
  </si>
  <si>
    <t>3 sec to 5 min</t>
  </si>
  <si>
    <t>- deceleration (EV Stop): &lt;= 5m/s2
- Jerk range: &lt;= 5m/s3
- TTC (if any)
- Logic: no crashing (eg: gap distance &gt;2m)</t>
  </si>
  <si>
    <t>ACC_REQ_009</t>
  </si>
  <si>
    <t>ACC Set Speed Control Accuracy for horizontal roads</t>
  </si>
  <si>
    <t>&lt;= 1 km/h</t>
  </si>
  <si>
    <t>P</t>
  </si>
  <si>
    <t>Combine with REQ_ACC_001</t>
  </si>
  <si>
    <t>ACC_REQ_010</t>
  </si>
  <si>
    <t>ACC Set Speed Control Accuracy for slope roads</t>
  </si>
  <si>
    <t>&lt;= 3 km/h</t>
  </si>
  <si>
    <t>ACC_REQ_011</t>
  </si>
  <si>
    <t>The speed range of ego vehicle for ACC system to work shall be</t>
  </si>
  <si>
    <t>0 - 150 kph</t>
  </si>
  <si>
    <t>R</t>
  </si>
  <si>
    <t>ACC works at speed =150kph (Stop mode test at speed=0)</t>
  </si>
  <si>
    <t>ACC_REQ_012</t>
  </si>
  <si>
    <t>The speed range of ego vehicle for ACC system to be activated first time by pressing the Set-Speed (STANDBY -&gt; ACTIVE)</t>
  </si>
  <si>
    <t>20- 150 kph (with No target)</t>
  </si>
  <si>
    <t>S</t>
  </si>
  <si>
    <t>System chage state as requirement description</t>
  </si>
  <si>
    <t>ACC_REQ_013</t>
  </si>
  <si>
    <t>0- 150 kph (with target)</t>
  </si>
  <si>
    <t>ACC_REQ_014</t>
  </si>
  <si>
    <t>ACC can be resumed at any speed</t>
  </si>
  <si>
    <t>0- 150 kph</t>
  </si>
  <si>
    <t>ACC_REQ_015</t>
  </si>
  <si>
    <t>When vehicle is traveling over 72 kph, ACC automatic deceleration shall</t>
  </si>
  <si>
    <t>not exceed 3.5 m/s^2 (average over 2 sec)</t>
  </si>
  <si>
    <t>ACC_REQ_016</t>
  </si>
  <si>
    <t>When vehicle is traveling below 18 kph, ACC automatic deceleration shall</t>
  </si>
  <si>
    <t>not exceed 5.0 m/s^2 (average over 2 sec)</t>
  </si>
  <si>
    <t>ACC_REQ_017</t>
  </si>
  <si>
    <t>When vehicle is traveling over 72 kph, ACC automatic acceleration shall</t>
  </si>
  <si>
    <t>not exceed 2.0 m/s^2 (average over 2 sec)</t>
  </si>
  <si>
    <t>ACC_REQ_018</t>
  </si>
  <si>
    <t>When vehicle is traveling below 18 kph, ACC automatic acceleration shall</t>
  </si>
  <si>
    <t>not exceed 4.0 m/s^2 (average over 2 sec)</t>
  </si>
  <si>
    <t>ACC_REQ_019</t>
  </si>
  <si>
    <t>When vehicle is traveling over 72 kph, ACC average rate of change of automatic deceleration (negative jerk) shall</t>
  </si>
  <si>
    <t>not exceed 2.5 m/s^3(average over 1 sec)</t>
  </si>
  <si>
    <t>ACC_REQ_020</t>
  </si>
  <si>
    <t>When vehicle is traveling below 18 kph, ACC average rate of change of automatic deceleration (negative jerk) shall</t>
  </si>
  <si>
    <t>not exceed 5.0 m/s^3 (average over 1 sec)</t>
  </si>
  <si>
    <t>ACC_REQ_021</t>
  </si>
  <si>
    <t>ACC shall work on curved roads with radius</t>
  </si>
  <si>
    <t>Radius &gt;= 250m
ACC may work with smaller Radius, because ACC with intelligent Curving mode could control the vehicle speed according the radius of lane (Check next KPI)</t>
  </si>
  <si>
    <t>ACC_REQ_022</t>
  </si>
  <si>
    <t>ACC shall follow the front car stop and go behavior in the following slope range</t>
  </si>
  <si>
    <t>Performance guaranteed within ±15%</t>
  </si>
  <si>
    <t>ACC_REQ_023</t>
  </si>
  <si>
    <t>When the ACC any button is pressed, signal will be received with higher frequency
Buttons are = CANCEL/RESUME,GAP+, GAP-, ON/OFF, SPEED+, SPEED-</t>
  </si>
  <si>
    <t>3 cycles with 50ms cycle time</t>
  </si>
  <si>
    <t>ACC_REQ_024</t>
  </si>
  <si>
    <t>When button released or after 3 cycles signals will come back to lower frequency
Buttons are = CANCEL/RESUME,GAP+, GAP-, ON/OFF, SPEED+, SPEED-</t>
  </si>
  <si>
    <t>1000ms cycle time</t>
  </si>
  <si>
    <t>ACC_REQ_025</t>
  </si>
  <si>
    <t>Short press of SPEED+ button ACC will increase speed by</t>
  </si>
  <si>
    <t>1 mph</t>
  </si>
  <si>
    <t>ACC_REQ_026</t>
  </si>
  <si>
    <t>Short press of SPEED- button ACC will decrease speed by</t>
  </si>
  <si>
    <t>ACC_REQ_027</t>
  </si>
  <si>
    <t>Long press of SPEED+ button ACC will increase speed by</t>
  </si>
  <si>
    <t>5 mph, frequency is 2 Hz (2 increases per second)</t>
  </si>
  <si>
    <t>ACC_REQ_028</t>
  </si>
  <si>
    <t>Long press of SPEED- button ACC will decrease speed by</t>
  </si>
  <si>
    <t>5 mph, frequency is 2 Hz (2 decreases per second)</t>
  </si>
  <si>
    <t>ACC_REQ_029</t>
  </si>
  <si>
    <t>With 1st level to 4th level Gap distances, the time to the impeding vehicle shall be</t>
  </si>
  <si>
    <t>1 - 2 seconds</t>
  </si>
  <si>
    <t>ACC_REQ_030</t>
  </si>
  <si>
    <t>If Camera failsafe detected, ACC should be deactivated if host speed</t>
  </si>
  <si>
    <t>&lt;20kph</t>
  </si>
  <si>
    <t>ACC_REQ_031</t>
  </si>
  <si>
    <t>ACC system will request the driver to take over if all of these conditions are satisfied:</t>
  </si>
  <si>
    <t>1. Potential collision has been registered, can't be avoided by ACC
2.Deceleration demand larger than the limit (Check KPI 12)
3.Target vehicle has been detected for time longer than the limit (Not defined)
4. None of the system limit warning suppressions is active.</t>
  </si>
  <si>
    <t>ACC_REQ_032</t>
  </si>
  <si>
    <t>ACC system will continuously request the driver to take over if one of these conditions ais satisfied
Note: ACC will be in BRAKEOnly state (Engine torque control is inhibited, and only braking can be operated)</t>
  </si>
  <si>
    <t>1. Driver press Cancel Button
2. Trunk is open
3. Hood is open
4.Any door is open
5. Seatbelt not attached
6. Gear not in D
7.Manual gear mode selected
8.Radar blocked
9. ACC target lost suddenly
10. TCS (Traction Control System) is Off
11. ESC (Electrical Stability Control) is Off
12. ABS, TCS, TSC, VDC or MSR is active for longer than threshold (not defined)
13. The handshake signal for powertrain and ACC is not satisfied
14. Go Displacement Limitation Check failed (Longer than 1.6m within 1.5s)</t>
  </si>
  <si>
    <t>ACC_REQ_033</t>
  </si>
  <si>
    <t>ACC system will transfer from ACTIVE to PASSIVE (ACC not controlling the vehicle) if one of these conditions is detected:
Note: If all conditions cleared then ACC become in STANDBY state</t>
  </si>
  <si>
    <t>1. AEB is progress
2.EPB (Electronic Parking Brake) is applied
3.Auto Parking System is active
4.Vehicle slipping away detected and braking system needs to release brake force.
5.Speed become larger than 150 kph
6. Trailer or towing status is detected
7. Camera failsafe detected (for speeds less than 20 kph)
8. Driver press the Brake pedal (if speed more than 0 (not in standstill mode))
9. The handshake signal for braking system and ACC is not satisfied
10. Vehicle could not hold after system follow to stop
11. Steering Angle Sensor (SAS) not calibrated</t>
  </si>
  <si>
    <t>ACC_REQ_034</t>
  </si>
  <si>
    <t>ACC system will transfer from ACTIVE to STANDBY (Ready to be active if one of these conditions is detected:
Note: If driver press the RESUME button ACC will be active again</t>
  </si>
  <si>
    <t>1. Press the Cancel button</t>
  </si>
  <si>
    <t>ACC_REQ_035</t>
  </si>
  <si>
    <t>ACC shall drive off automatically after full stop if all these conditions are satisfied</t>
  </si>
  <si>
    <t>1. Requested speed &gt; 0.5 m/s or requested acceleration &gt; 0.2 m/s^2
2.Vehicle is standstill
3.Driver not pressing brake pedal
4.system in the status of 'Override/standstill active
5.if the target vehicle exists, the relative distance between target vehicle and host vehicle &gt; 8.5m/s(could be calibrated),
or the relative distance &gt; 3.5m/s(could be calibrated) and relative speed &gt; 0.5m/s for certain time if the target vehicle
exists</t>
  </si>
  <si>
    <t>ACC_REQ_036</t>
  </si>
  <si>
    <t>System shall request driver to take over if all conditions are met:</t>
  </si>
  <si>
    <t>Potential collision has been registered which means cannot avoid Collison with ACC deceleration
and
deceleration demand (absolute value) is larger than APV_Dec_Value
and
target vehicle has been detected for a duration longer than APV_Detected_Time
and
none of the system limit warning suppressions is active</t>
  </si>
  <si>
    <t>ACC_REQ_037</t>
  </si>
  <si>
    <t>System shall request driver to take over if one of these conditions is detected:</t>
  </si>
  <si>
    <t>1. TCS off
2. ESC off
3. ABS active for a duration longer than APV_ABS_BraO_Threshold
4. TCS active for a duration longer than APV_TCS_BraO_Threshold
5. VDC active for a duration longer than APV_VDC_BraO_Threshold
6. MSR active for a duration longer than APV_MSR_ BraO_Threshold
7. Driver presses cancel switch during ACC active
8. The handshake signal for powertrain and ACC is not satisfied
9. Trunk open
10. Bonnet/hood open
11. Any door open
12. Driver seatbelt not attached
13. Current gear position is not D
14. Radar blockage detected
15. Go Displacement Limitation Check failed (Longer than 1.6m within 1.5s)
16. ACC target lost suddenly in near range
17. Driver presses brake pedal, Driver pressing gas pedal</t>
  </si>
  <si>
    <t>ACC_REQ_038</t>
  </si>
  <si>
    <t>Sysetm shall no longer request driver to take over if</t>
  </si>
  <si>
    <t>Driver presses brake pedal, Driver pressing gas pedal</t>
  </si>
  <si>
    <t>ACC_REQ_039</t>
  </si>
  <si>
    <t>System shall transfer from Off to Passive state if one of these conditions is detected:</t>
  </si>
  <si>
    <t>1. The handshake signal for braking system and ACC is not satisfied
2. The handshake signal for powertrain and ACC is not satisfied
3. AEB deceleration in progress
4. EPB applied
5. Auto parking system active
6. Vehicle moving backward
7. Vehicle is not standstill and driver press the brake pedal
8. Vehicle speed &gt;150kph
9. TCS off
10. ESC off
11. ABS active for a duration longer than APV_ABS_ BraO_Threshold
12. TCS active for a duration longer than APV_TCS_ BraO_Threshold
13. VDC active for a duration longer than APV_VDC_ BraO_Threshold
14. MSR active for a duration longer than APV_MSR_ BraO_Threshold
15. Trunk open
16. Bonnet/hood open
17. Any door open
18. Driver seatbelt not attached
19. Current gear position is not D
20. Radar blockage detected
21. SAS not calibrated
22. Towing status detected
23. Trailer detected
24. Camera failsafe detected and host speed &lt;20kph</t>
  </si>
  <si>
    <t>ACC_REQ_040</t>
  </si>
  <si>
    <t>System shall transfer from Off state to Failure state if</t>
  </si>
  <si>
    <t>any ACC system fault is detected</t>
  </si>
  <si>
    <t>ACC_REQ_041</t>
  </si>
  <si>
    <t>System shall transfer from any Other state to Off state if</t>
  </si>
  <si>
    <t>IGN OFF</t>
  </si>
  <si>
    <t>ACC_REQ_042</t>
  </si>
  <si>
    <t>System shall transfer from Passive state to Standby state if</t>
  </si>
  <si>
    <t>no inhibit condition detected</t>
  </si>
  <si>
    <t>ACC_REQ_043</t>
  </si>
  <si>
    <t>System shall transfer from Passive state to Failure state if</t>
  </si>
  <si>
    <t>ACC_REQ_044</t>
  </si>
  <si>
    <t>System shall transfer from Standby state to Passive state if any of the following conditions is met:</t>
  </si>
  <si>
    <t>Inhibit conditions in 5.1.1</t>
  </si>
  <si>
    <t>ACC_REQ_045</t>
  </si>
  <si>
    <t>ACC changes from Standby to Active Control State if all these conditions are satisfied:</t>
  </si>
  <si>
    <t>1. ACC function activated before in current ignition cycle" only applies to pressing RESUME button
2. there is no inhibition condition
3. vehicle is not in standstill status
4. 20kph ≤ v ≤ 150kph, and Press SET button and if there is no leading vehicle" + "ACC hasn't been activated in current ignition cycle"
5. Standby State, and 20kph ≤ vset ≤ 150kph, and v ≤ 150kph, and Press RESUME button</t>
  </si>
  <si>
    <t>ACC_REQ_046</t>
  </si>
  <si>
    <t>System shall transfer from Standby to Standstill Active state if all conditions are met:</t>
  </si>
  <si>
    <t>1. Driver has pressed SET button OR RESUME button if ACC function has been activated before in current ignition cycle
and
2. Vehicle is in standstill and (brake pedal is pressed or wheel cylinder pressure is detected）
and
3. No inhibit condition detected.
and
4. (If ACC function hasn’t been activated in current ignition cycle (then system has no set speed) and there is a stationary or stopped leading vehicle detected, ACC can be activated at standstill
OR
If ACC function has been activated in current ignition cycle (then system has set speed), ACC can be resumed at standstill with or without leading vehicle)</t>
  </si>
  <si>
    <t>ACC_REQ_047</t>
  </si>
  <si>
    <t>System shall transfer from Standby state to Failure state if</t>
  </si>
  <si>
    <t>Any ACC system fault is detected</t>
  </si>
  <si>
    <t>ACC_REQ_048</t>
  </si>
  <si>
    <t>System shall transfer from Active to Passive state if one of these conditions is detected:</t>
  </si>
  <si>
    <t>1. The handshake signal for braking system and ACC is not satisfied
2. AEB deceleration in progress
3. Apply EPB4. Activate Auto parking system
4. Vehicle slipping away detected and braking system needs to release brake force
5. Vehicle is not standstill and driver press the brake pedal
6. Vehicle speed &gt;150kph
7. Vehicle could not hold after system follow to stop
8. SAS not calibrated
9. Towing status detected
10. Trailer detected
11. Camera failsafe detected and host speed &lt;20kph</t>
  </si>
  <si>
    <t>ACC_REQ_049</t>
  </si>
  <si>
    <t>System shall transfer from Active to Standby state</t>
  </si>
  <si>
    <t>Press CANCEL button</t>
  </si>
  <si>
    <t>ACC_REQ_050</t>
  </si>
  <si>
    <t>System shall transfer from Active to Brake Only if one of these conditions is detected:</t>
  </si>
  <si>
    <t>1. Press cancel switch during ACC active
2. Trunk open
3. Bonnet/hood open
4. Any door open
5. Driver seatbelt not attached
6. Gear position is not D
7. Radar blockage
8. ACC target lost in near range</t>
  </si>
  <si>
    <t>ACC_REQ_051</t>
  </si>
  <si>
    <t>System shall transfer from Active or Standstill Active to Override state</t>
  </si>
  <si>
    <t xml:space="preserve">
Press acceleration pedal above threshold position
--&gt; VUT accelerates</t>
  </si>
  <si>
    <t>ACC_REQ_052</t>
  </si>
  <si>
    <t>System shall transfer from Active to Standstill Active state if all conditions are met:</t>
  </si>
  <si>
    <t>ACC brakes the vehicle to standstill
and
The duration of standstill state is less than 3 seconds
and
There is no drive off request
and
Brake pedal is not pressed</t>
  </si>
  <si>
    <t>ACC_REQ_053</t>
  </si>
  <si>
    <t>System shall transfer from Active state to Failure Mode state if</t>
  </si>
  <si>
    <t>ACC_REQ_054</t>
  </si>
  <si>
    <t>System shall transfer from Override to Active state</t>
  </si>
  <si>
    <t>Release acceleration pedal</t>
  </si>
  <si>
    <t>ACC_REQ_055</t>
  </si>
  <si>
    <t>System shall transfer from Override to Passive state if one of these conditions is detected:</t>
  </si>
  <si>
    <t>1. Apply EPB
2. Activate Auto parking system</t>
  </si>
  <si>
    <t>ACC_REQ_056</t>
  </si>
  <si>
    <t>System shall transfer from Override state to Brake Only if one of these conditions is detected:</t>
  </si>
  <si>
    <t>1. TCS off
2. ESC off
3. ABS active for a duration longer than APV_ABS_ BraO_Threshold
4. TCS active for a duration longer than APV_TCS_ BraO_Threshold
5. VDC active for a duration longer than APV_VDC_ BraO_Threshold
6. MSR active for a duration longer than APV_MSR_ BraO_Threshold
7. Driver presses cancel switch during ACC active
8. The handshake signal for powertrain and ACC is not satisfied
9. Trunk open
10. Bonnet/hood open
11. Any door open
12. Driver seatbelt not attached
13. Current gear position is not D
14. Radar blockage detected
15. Go Displacement Limitation Check failed (Longer than 1.6m within 1.5s)
16. ACC target lost suddenly in near range</t>
  </si>
  <si>
    <t>ACC_REQ_057</t>
  </si>
  <si>
    <t>System shall transfer from Override state to Failure state if</t>
  </si>
  <si>
    <t>ACC_REQ_058</t>
  </si>
  <si>
    <t>System shall transfer from Brake Only to Passive state if one of these conditions is detected:</t>
  </si>
  <si>
    <t>1. Apply EPB
2. Activate Auto parking system
3. Vehicle in standstill
4. Driver override</t>
  </si>
  <si>
    <t>ACC_REQ_059</t>
  </si>
  <si>
    <t>System shall transfer from Brake Only state to Failure Mode state if</t>
  </si>
  <si>
    <t>ACC_REQ_060</t>
  </si>
  <si>
    <t>System shall transfer from Standstill Active to Passive state if one of these conditions is detected:</t>
  </si>
  <si>
    <t>1. Apply EPB
2. Activate Auto parking system
3. Press cancel switch during ACC active
4. Trunk open
5. Bonnet/hood open
6. Any door open
7. Driver seatbelt not attached
8. Gear position is not D
9. Radar blockage
10. ACC target lost in near range</t>
  </si>
  <si>
    <t>ACC_REQ_061</t>
  </si>
  <si>
    <t>System shall transfer from Standstill Active to Active state and drive off if all conditions are met:</t>
  </si>
  <si>
    <t>System in the status of 'Override/standstill active
and
Request speed &gt; 0.5m/s (could be calibrated) or the acceleration &gt; 0.2m/s^2 (could be calibrated) for certain time
and
Vehicle is in standstill
and
Driver does not press the brake pedal
and
(if the target vehicle exists, the relative distance between target vehicle and host vehicle &gt; 8.5m/s (could be calibrated), OR the relative distance &gt; 3.5m/s (could be calibrated) and relative speed &gt; 0.5m/s for certain time if the target vehicle exists)</t>
  </si>
  <si>
    <t>ACC_REQ_062</t>
  </si>
  <si>
    <t>System shall transfer from Standstill Active to Standstill Wait state if</t>
  </si>
  <si>
    <t>Status of ‘standstill-active’ last longer than 3s</t>
  </si>
  <si>
    <t>ACC_REQ_063</t>
  </si>
  <si>
    <t>System shall transfer from Standstill Active state to Failure Mode state if</t>
  </si>
  <si>
    <t>ACC_REQ_064</t>
  </si>
  <si>
    <t>System shall transfer from Standstill Wait state to Passive state if one of these conditions is detected:</t>
  </si>
  <si>
    <t>1. The handshake signal for braking system and ACC is not satisfied
2. AEB deceleration in progress
3. Apply EPB
4. Activate Auto parking system
5. Vehicle slipping away detected and braking system needs to release brake force
6. Vehicle is not standstill and driver press the brake pedal
7. Vehicle speed &gt;150kph
8. Vehicle could not hold after system follow to stop
9. SAS not calibrated
10. Towing status detected
11. Trailer detected
12. Camera failsafe detected and host speed &lt;20kph
13. TCS off
14. ESC off
15. ABS active for a duration longer than APV_ABS_ BraO_Threshold
16. TCS active for a duration longer than APV_TCS_ BraO_Threshold
17. VDC active for a duration longer than APV_VDC_ BraO_Threshold
18. MSR active for a duration longer than APV_MSR_ BraO_Threshold
19. Driver presses cancel switch during ACC active
20. The handshake signal for powertrain and ACC is not satisfied
21. Trunk open
22. Bonnet/hood open
23. Any door open
24. Driver seatbelt not attached
25. Current gear position is not D
26. Radar blockage detected
27. Go Displacement Limitation Check failed (Longer than 1.6m within 1.5s)
28. ACC target lost suddenly in near range
29. Duration time of Stand-Wait state over APV_Stl_Wait_Pas_Time (5 mins)</t>
  </si>
  <si>
    <t>ACC_REQ_065</t>
  </si>
  <si>
    <t>System shall transfer from Standstill Wait to Active state if all conditions met:</t>
  </si>
  <si>
    <t>Driver presses Resume OR taps throttle
and
Front vehicle status allows the host vehicle to go
and
Brake pedal is not pressed</t>
  </si>
  <si>
    <t>ACC_REQ_066</t>
  </si>
  <si>
    <t>System shall transfer from Standstill Wait to Override state if</t>
  </si>
  <si>
    <t>acceleration pedal position is larger than the threshold</t>
  </si>
  <si>
    <t>ACC_REQ_067</t>
  </si>
  <si>
    <t>System shall transfer from Standstill Wait to Standstill Active state if all conditions are met:</t>
  </si>
  <si>
    <t>Driver presses Resume OR taps throttle
and
Front vehicle status does not allow the host vehicle to go
and
Brake pedal is not pressed</t>
  </si>
  <si>
    <t>ACC_REQ_068</t>
  </si>
  <si>
    <t>System shall transfer from Standstill Wait state to Failure Mode state if</t>
  </si>
  <si>
    <t>ACC_REQ_069</t>
  </si>
  <si>
    <t>ACC shall inform the driver to take over if all conditions are met:</t>
  </si>
  <si>
    <t>Brake only State</t>
  </si>
  <si>
    <t>ACC_REQ_070</t>
  </si>
  <si>
    <t>Potential collision has been registered which means cannot avoid collision with ACC deceleration
and
Deceleration demand (absolute value) is larger than tunable value
and
Target vehicle has been detected for a duration longer than a tuned value
and
None of the system limit warning suppressions is active.</t>
  </si>
  <si>
    <t>ACC_REQ_071</t>
  </si>
  <si>
    <t>ACC shall suppress system limit warning if</t>
  </si>
  <si>
    <t>Driver takes the control through braking, or Driver takes the control through overriding</t>
  </si>
  <si>
    <t>ACC_REQ_072</t>
  </si>
  <si>
    <t>ACC shall decelerate in advance of a curve</t>
  </si>
  <si>
    <t>according the radius of curvature lane width (lane information from camera)</t>
  </si>
  <si>
    <t>ACC_REQ_073</t>
  </si>
  <si>
    <t>ACC Failure Rate</t>
  </si>
  <si>
    <t>For ACC function, during 100000 km one error may occur. (0.001%)</t>
  </si>
  <si>
    <t>ACC_REQ_074</t>
  </si>
  <si>
    <t>1. TCS off
2. ESC off
3. ABS active for a duration longer than APV_ABS_ BraO_Threshold
4. TCS active for a duration longer than APV_TCS_ BraO_Threshold
5. VDC active for a duration longer than APV_VDC_ BraO_Threshold
6. MSR active for a duration longer than APV_MSR_ BraO_Threshold
7. Driver presses cancel switch during ACC active
8. The handshake signal for powertrain and ACC is not satisfied
9. Trunk open
10. Bonnet/hood open
11. Any door open
12. Driver seatbelt not attached
13. Current gear position is not D
14. Radar blockage detected
15. Go Displacement Limitation Check failed (Longer than 1.6m within 1.5s)
16. ACC target lost suddenly in near range
17. The handshake signal for braking system and ACC is not satisfied
18. AEB deceleration in progress
19. Apply EPB_x0001_20. Activate Auto parking system_x0001_21. Vehicle slipping away detected and braking system needs to release brake force
22. Vehicle is not standstill and driver press the brake pedal
23. Vehicle speed &gt;150kph
24. Vehicle could not hold after system follow to stop
25. SAS not calibrated
26. Towing status detected
27. Trailer detected
28. Camera failsafe detected and host speed &lt;20kph</t>
  </si>
  <si>
    <t>LKA_REQ_001</t>
  </si>
  <si>
    <t>LKA Speed Range</t>
  </si>
  <si>
    <t>LKA shall support independent activation via dedicated switches.
LKA shall be active only within the vehicle speed range of 50–150 km/h.
LKA shall apply hysteresis with thresholds of 45 km/h (lower) and 155 km/h (upper).</t>
  </si>
  <si>
    <t>LKA works at boundary speed zones: 45-50, 150-155 kph</t>
  </si>
  <si>
    <t>LKA_REQ_002</t>
  </si>
  <si>
    <t>ODD-Road conditions</t>
  </si>
  <si>
    <t xml:space="preserve">1, Road conditions: 
1.1, Road type supported:  Highway, Urban road, bridges, uphills, downhills; 
1.2, Road type NOT supported: intersections, U-turn junctions, roundabouts, parking lots, toll booths, or gate barriers, emergency evacuation/shoulder lanes, U-turn intersections, grass road, muddy road;  
1.3, Lane markers: single or both lane markers should be clear in 100m in front of host vehicle;  
1.5, Medians: Road edge and Barriers are supported; 
1.6, Lane geometric：Road radius (limited by lateral acceleration) ; Slope &lt;= 6%; lane width 2.5~5.5m;  </t>
  </si>
  <si>
    <t>LKA works at boundary zone: 
- Slope = 6%
- Lane width = 2.5m/ 5.5m</t>
  </si>
  <si>
    <t>LKA_REQ_003</t>
  </si>
  <si>
    <t xml:space="preserve">ODD-Weather conditions </t>
  </si>
  <si>
    <t xml:space="preserve">2.1 LKA  can work normally under light rain, moderate rain, light snow, light fog and similar mild environmental weather conditions; 
2.2 LKA can not work under heavy rain/ snow/ fog with liited sight environment conditions; </t>
  </si>
  <si>
    <t>Covered in other F cases by weather/ environment changes</t>
  </si>
  <si>
    <t>LKA_REQ_004</t>
  </si>
  <si>
    <t>ODD-Illuminate conditions</t>
  </si>
  <si>
    <t xml:space="preserve">3,1 LKA shall work normally under daylight， Overcast/cloudy sky， Dawn， Dusk，Nighttime（no street lighting or street lighting present) </t>
  </si>
  <si>
    <t>LKA_REQ_005</t>
  </si>
  <si>
    <t>LKA Intervention Line</t>
  </si>
  <si>
    <t>- Threshold: distance from intervention line to lane marking
- Intervention Line: [Lateral Speed (m/s) - Threshold (m/s)] = [0.1-0.28], [0.2-0.36], [0.3-0.44], [0.4-52], [0.5-0.6], [0.6-0.68], [0.7-0.7]</t>
  </si>
  <si>
    <t>LKA actives as Threshold range</t>
  </si>
  <si>
    <t>LKA_REQ_006</t>
  </si>
  <si>
    <t>LKA Passive-&gt; standby T6</t>
  </si>
  <si>
    <t>The transmission gear is D and the gear signal is valid.
The vehicle is moving forward (all wheels indicate forward direction).
The vehicle speed remains within the valid operating range (50–150 km/h) for more than 0.1 s.
The lane width is sufficient, i.e. greater than 0.9 m + vehicle width, when both lane boundaries are detected.
ESC has no fault.
Traction Control System (TCS) is available and inactive.
Vehicle Dynamic Control (VDC) is inactive and fault-free.
Dynamic Stability Control (DSC) status is normal.
All tire pressures are normal (no low-pressure warning on any wheel).
All doors are closed.
The trunk and bonnet are closed.
At least one valid lane boundary (solid or dashed) is detected.
No lane change is detected (JN suggest not to use lat distance, instead we will use StrAng or StrAngSpd to determine a lane change.
The road curvature radius is ≥ 250 m.
ABS is inactive (not activated for more than the defined threshold).
Lateral acceleration is below the specified limit.
Longitudinal acceleration and deceleration are within the specified limits.
No inhibit-related DTC is present.
HWA is not active.
No trailer or towing condition is detected.</t>
  </si>
  <si>
    <t>LKA_REQ_007</t>
  </si>
  <si>
    <t>T9 Active -&gt; Passive</t>
  </si>
  <si>
    <t>The transmission gear is not in D
The vehicle is not moving forward 
The vehicle speed is outside the valid operating range
+Normal scenario: &lt; 45 km/h or &gt; 155 km/h
+ELK overtaking scenario: &lt; 50 km/h or &gt; 155 km/h.
The lane width is insufficient (less than 0.8 m + vehicle width) when both lane boundaries are detected.
Lane markings on both sides are not detected for 0.5 s.
The road curvature radius &lt;200m
ESC has a fault.
Traction Control System (TCS) is active or not available.
Vehicle Dynamic Control (ESC control) is active.
Dynamic Stability Control (DSC) status is not normal.
Tire pressure is too low on any wheel.
Any door is open.
The trunk or bonnet is open.
ABS is active &gt;1s
Lateral acceleration exceeds the limit (&gt; 3 m/s²).
Longitudinal acceleration exceeds the limit (&gt; 3.5 m/s²).
Longitudinal deceleration exceeds the limit (absolute value &gt; 3.5 m/s²).
An inhibit-related DTC is present (e.g. LKA failsafe related to FCAM or external ECUs).
HWA is active.
A trailer is detected or towing mode is active.
A lane change is detected or in progress (determined by steering angle or steering angle speed).
LKA has lower priority due to arbitration, and therefore cannot remain active.</t>
  </si>
  <si>
    <t>LKA_REQ_008</t>
  </si>
  <si>
    <t>LKA Standby-&gt; Active T10</t>
  </si>
  <si>
    <t>All Conditions are met:
Pre-condition: LKA is under standby state 
Trigger: 
1. Vehicle touched LKA intervention line
2. LKA is not override
Process: 
1. Vehicle is deviating to one side
2.EPS handshake establish
3. FCAM request EPS steering angle
4. FCAM set FCAM_LKA_State=4 Active; FCAM_HapWarning=1 activation
5. LKA has higher priority based on arbitration</t>
  </si>
  <si>
    <t>LKA_REQ_009</t>
  </si>
  <si>
    <t>T11 Active -&gt; Standby</t>
  </si>
  <si>
    <t>All Conditions are met:
The intervention is completed (the vehicle is near the center of the lane (+-20cm) and lateral speed &lt;0.15m/s
and the lateral speed is less than 0.15m/s after the correction is completed)</t>
  </si>
  <si>
    <t>LKA_REQ_010</t>
  </si>
  <si>
    <t xml:space="preserve"> Co-Drive Logic</t>
  </si>
  <si>
    <t>LKA/ELK has 2 interfaces with EPS (Electronic Power Steering) for steering correction:  
Steering_angle_request: The steering wheel angle needed to keep the vehicle from unintentionally departing the lane</t>
  </si>
  <si>
    <t>Driver steering torque - Torque factor request changes as requirement</t>
  </si>
  <si>
    <t>LKA_REQ_011</t>
  </si>
  <si>
    <t xml:space="preserve">Torque_factor_request: (min: 0, max: 1)  
Torque_factor_request = 1 -&gt; EPS will use 100 % of available torque to achieve Steering_angle_request  
Torque_factor_request = 0.5 -&gt; EPS will use 50 % of available torque to achieve steering_angle_request  
Torque_factor_request = 0 -&gt; EPS will use 0 % of available torque to achieve steering_angle_request  
The Torque_factor_request introduces a driver-machine co-driving mechanism designed in the system. If the measured driver’s steering torque (from vehicle CAN bus) applied on the steering wheel is greater than a threshold (but still less than override torque), the LKA/ELK system will reduce the Torque_factor_request sent to EPS. Higher the driver torque, lower the value of Torque_factor_request. This mechanism improves driver-system interaction by ensuring that the system does not interfere with the driver and thereby improves the acceptability of the system. Here is the lookup table between driver’s steering and Torque_factor_request: </t>
  </si>
  <si>
    <t>Cover by LKA_REQ_017</t>
  </si>
  <si>
    <t>LKA_REQ_012</t>
  </si>
  <si>
    <t>LKA enter override from standby</t>
  </si>
  <si>
    <t>Pre condition: LKA standby
Trigger: 
1. The corresponding side turn signal is turned on and deviates to that side;
BCM_turnindicator = 1 "Left" or 2 "Right"
2. Steering wheel torque is more than 2.2Nm for 500ms
EPS_SteeringTorque &gt;=2.2Nm
3. Steering_Speed &gt;=100 degree/s
SAS_SteerWhlRotSpd&gt;=100 degree/s
4. Brake pedal pressed
WCBS_BrkPedalSwSts=1 brake pressed &amp;&amp; WCBS_BrkPedalSwStsV=0 Valid;
5. Switch on hazard warning light
BCM_STAT_HazardWarn=1"active"
Process: Any conditions met
Output: LKA enter override state</t>
  </si>
  <si>
    <t>LKA_REQ_013</t>
  </si>
  <si>
    <t>HOD detection state</t>
  </si>
  <si>
    <t>When LKA is active in “Warning &amp; Steer” mode, FCAM determines the driver hands-on/off state based on EPS HOD_Status, and updates FCAM_LKA_HOD_state only after receiving a stable status for 3 consecutive cycles (1500 ms).</t>
  </si>
  <si>
    <t>LKA_REQ_014</t>
  </si>
  <si>
    <t xml:space="preserve"> LKA Standby -&gt; Passive T7</t>
  </si>
  <si>
    <t>Pre-condition: LKA is under Standby state
Trigger: 
The transmission gear is not in D or the gear signal is invalid.
The vehicle is not moving forward
The vehicle speed is outside the valid operating range (&lt; 45 km/h or &gt; 155 km/h).
The lane width is insufficient (less than 0.8 m + vehicle width) when both lane boundaries are detected.
ESC has a fault.
Traction Control System (TCS) is active.
Traction Control System is not available 
Vehicle Dynamic Control (ESC control) is active.
Dynamic Stability Control (DSC) status is not normal.
The trunk or bonnet is open.
Lane markings on both sides are lost for more than the defined duration.
A lane change is detected or in progress.
+ JN suggest not to use lat distance, instead we will use StrAng or StrAndSpd to determine a lane change.
The road curvature radius &lt;200m
ABS is active.
Lateral acceleration &gt;3m/s2 (WCBS_LateralACC&gt;3)
Longitudinal acceleration or deceleration &gt;3.5 m/s2
(WCBS_LongitudeACC&gt;3.5; WCBS_LongitudeACC&lt;-3.5)
An inhibit-related DTC is present.
Tire pressure is too low on any wheel.
HWA is active.
A trailer is detected or towing mode is active.
LKA has lower priority due to arbitration and therefore cannot remain active.</t>
  </si>
  <si>
    <t>LKA_REQ_015</t>
  </si>
  <si>
    <t>LKA active state Arbitration-Low priority</t>
  </si>
  <si>
    <t>Pre-condition: Vehicle driving normally, LKA MHU switch is on, FCAM_LA_Mode_Feed = 2 "Warning &amp; Steer" , FCAM_LKA_check =0 "Available"
Trigger: LKA activation condition meet and any following feature are activated at same time:
1. AEB active
2. ESA active
3. HWA active
4. ELKA active
Process: LKA and other feature are triggered at the same time
Output: LKA shall remain passive</t>
  </si>
  <si>
    <t>LKA_REQ_016</t>
  </si>
  <si>
    <t>LKA error detected condition</t>
  </si>
  <si>
    <t xml:space="preserve">LKA switch is designed as shown in the following picture above. If MHU  lane assist setting is at warning &amp;steer  (MHU_LA_mode =2), then LKA is on.
Precondtion: LKA MHU switch is OFF
Trigger: following condition is met:
Manual switch to warning &amp; steer （MHU_LA_Mode = 2 warning &amp; steer）
Process: FCAM received MHU_LA_Mode_Feed = 2 warning &amp; steer，then set FCAM_LA_Mode_Feed = 2 "Warning &amp; Steer", LKA state tranfer to on state，and set  FCAM_LKA_State=2 passive/3 standby 
Output: MHU_LA_Mode_Feed = 2 warning &amp; steer， LKA state on, FCAM_LKA_State=2 passive/3 standby </t>
  </si>
  <si>
    <t>LKA_REQ_017</t>
  </si>
  <si>
    <t>LKA MHU Switch off</t>
  </si>
  <si>
    <t xml:space="preserve">Precondition: LKA MHU switch is on , FCAM_LA_Mode_Feed =2 "Warning &amp; Steer" 
Trigger:manual switch to off （MHU_LA_Mode = 0 off） 
Process: ,MHU_LA_Mode_Feed = 0 off,  LKA state = off 
MHU_LA_Mode = 0 off, FCAM_LKA_State= 0 "Off Mode" 
Output: MHU_LA_Mode = 0 off, FCAM_LKA_State= 0 "Off Mode" </t>
  </si>
  <si>
    <t>LKA_REQ_018</t>
  </si>
  <si>
    <t>LKA active warn</t>
  </si>
  <si>
    <t>Precondtion: LKA MHU switch is on, FCAM_LA_Mode_Feed = 2 "Warning &amp; Steer" , FCAM_LKA_check =0 "Available" ,FCAM_LKA_State = 3 standby 
Trigger: LKA is active  （FCAM_LKA_State=4 Active）
Process: FCAM set FCAM_LKA_ICON_Feed= 1 left/2 right，  FCAM_HapWarning= 1 activation 
Output: FCAM_LKA_ICON_FEED=1Left/2Right and FCAM_HapWarning=1 activation for at least 1s</t>
  </si>
  <si>
    <t>LKA_REQ_019</t>
  </si>
  <si>
    <t>line display- Grey</t>
  </si>
  <si>
    <t xml:space="preserve">When lane markings are detected and LDW is active while LKA/ELKA is inactive, the system shall display the lane lines in grey.Precondition: LDW is ON and LKA/ELKA is off LDW ON (FCAM_LA_Mode_Feed =1 "Warning only"） and ELKA off （ADAS_ELK_State= 0 Off Mode) 
Trigger: 
Lane markings detected (L0_LINE_TYPE!=0, R0_LINE_TYPE != 0) 
And 
LDW status Passive/Standby 
And 
LKA/ELK status Passive/off 
Process:
FCAM detect the lane markers and ADAS ECU check LKA on/off state 
, FCAM_LA_LeftLaneColor_Feed /FCAM_LA_RightLaneColor_Feed= 1 "Gray": 
Output: FCAM_LA_LeftLaneColor_Feed /FCAM_LA_RightLaneColor_Feed= 1 "Gray": </t>
  </si>
  <si>
    <t>LKA_REQ_020</t>
  </si>
  <si>
    <t xml:space="preserve">LKA line display- No color </t>
  </si>
  <si>
    <t xml:space="preserve">When no lane markings are detected or all LDW/LKA/ELK functions are off, the system shall not display lane lines on the HMI.
Precondtion: 
LDW MHU switch is on, LKA is on/off ,ELKA is on/off,  
FCAM_LA_Mode_Feed = 2 "Warning &amp; Steer" or 1 "Warning only",  
FCAM_ELKA_ON_Feed=0 off 
FCAM_LDW_check =0 "Available"  
FCAM_LKA_check =0 "Available"  
FCAM_ELK_check =0 "Available"  
Trigger: 
No lane markings on the road (no lane markings detected) 
（L0_LINE_TYPE=0 &amp;&amp; R0_LINE_TYP =0） 
or 
LDW/LKA functions are all Off （FCAM_LDW_State=1 off &amp;&amp; FCAM_LKA_State=1 off &amp;&amp;FCAM_ELK_State=1 off） 
Process: 
FCAM set FCAM_LA_LeftLaneColor_Feed /FCAM_LA_RightLaneColor_Feed = 0 "No color" 
Output: FCAM_LA_LeftLaneColor_Feed/FCAM_LA_RightLaneColor_Feed = 0 "No color" </t>
  </si>
  <si>
    <t>LKA_REQ_021</t>
  </si>
  <si>
    <t>HOD level 3 warning</t>
  </si>
  <si>
    <t>When LKA or ELK is active and the driver continuously keeps hands off the steering wheel without HOD errors, the system shall escalate to HOD Level 3 warning and suspend LKA.
Precondtion: Vehicle driving, HOD_Status =1 Handsoff and HOD_ERR_STATE =0 No error 
Trigger: LKA (FCAM_LKA_State=4 active) or ELK is on (FCAM_ELK_State=4 active )  for the Second time
Process: driver continuous not hands on 
, FCAM_handsoff_Warning_Mode_2= 3 Level 3 
Output: FCAM_Handsoff_Warning_Mode_2=3 Level 3</t>
  </si>
  <si>
    <t>LKA_REQ_022</t>
  </si>
  <si>
    <t>line display- White</t>
  </si>
  <si>
    <t xml:space="preserve">Precondition: LDW is ON, LKA/ELKA is on 
Trigger: 
Lane markings detected (L0_LINE_TYPE!=0, R0_LINE_TYPE != 0) 
And 
LDW status Standby 
And 
LKA/ELK status Standby/Active 
Process: 
vehicle does not reach LKA intervention line threshold 
, FCAM_LA_LeftLaneColor_Feed /FCAM_LA_RightLaneColor_Feed= 2 "White" 
Output: 
FCAM_LA_LeftLaneColor_Feed /FCAM_LA_RightLaneColor_Feed= 2 "White" </t>
  </si>
  <si>
    <t>LKA_REQ_023</t>
  </si>
  <si>
    <t>Line display - Red</t>
  </si>
  <si>
    <t xml:space="preserve">Pre-condition: LDW is ON and LKA is not error 
Trigger: 
Lane markings detected (L0_LINE_TYPE!=0, R0_LINE_TYPE != 0) 
And 
LDW status Active 
And 
LKA/ELK status Passive/Standby/Active/off 
Process: 
vehicle reaches LKA intervention line threshold 
, FCAM_LA_LeftLaneColor_Feed /FCAM_LA_RightLaneColor_Feed= 6 "Red" 
Output: FCAM_LA_LeftLaneColor_Feed /FCAM_LA_RightLaneColor_Feed= 6 "Red" </t>
  </si>
  <si>
    <t>LKA_REQ_024</t>
  </si>
  <si>
    <t>Reset trigger of HOD warning</t>
  </si>
  <si>
    <t>When the system is in HOD Level 3 warning state
(FCAM_handsoff_Warning_Mode_2 = 3),
the system shall reset and stop the hands-off warning immediately if any of the following conditions is met:
+Driver hands are detected on the steering wheel (Hands ON).
+The intervention interval is greater than or equal to 180 seconds.
After reset, the HOD warning state shall be cleared.</t>
  </si>
  <si>
    <t>LKA_REQ_025</t>
  </si>
  <si>
    <t>LKA fault popup display</t>
  </si>
  <si>
    <t xml:space="preserve">When LKA is ON and available
(FCAM_LKA_check = 0, FCAM_LKA_State = Passive / Standby / Active),
and an LKA fault is detected,
the system shall display an LKA fault popup indicating “Lane Assist Unavailable”,
set the LKA check status to fault, and update the LKA state to fault.
</t>
  </si>
  <si>
    <t>LKA_REQ_026</t>
  </si>
  <si>
    <t xml:space="preserve">Emergency Steering Intervening Popup </t>
  </si>
  <si>
    <t>When LDW is not active and LKA or ELKA is active,
the system shall display a steering intervention popup to inform the driver that lane keep assist is intervening.
If LKA is active while LDW is not active:
ADAS_LA_popup = 0x3 (Lane Keep Assist Intervening).
If ELKA is active in ONC / OVT / VRU scenarios
(LKA_ALFU_mode_of_operation = 2 / 3 / 4):
ADAS_LA_popup = 0x4 (Emergency Lane Keep Assist).
If ELKA is active in solid line or road edge scenarios
(LKA_ALFU_mode_of_operation = 0 / 1):
ADAS_LA_popup = 0x5 (Emergency Steering Intervening).</t>
  </si>
  <si>
    <t>LKA_REQ_027</t>
  </si>
  <si>
    <t>LKA intervention warn active popup display</t>
  </si>
  <si>
    <t>When LKA is ON and transitions from Passive / Standby
(FCAM_LKA_State = 2 / 3) to Active (FCAM_LKA_State = 4),
the system shall display the LKA intervention warning popup to indicate that lane keep assist is intervening.</t>
  </si>
  <si>
    <t>LKA_REQ_028</t>
  </si>
  <si>
    <t>LKA Active ICON display</t>
  </si>
  <si>
    <t>When LKA or ELKA transitions from Passive / Standby
(FCAM_LKA_State = 2 / 3) to Active (FCAM_LKA_State = 4),
the system shall display the LKA Active icon in green.
FCAM_LKA_ICON_Feed = 0x2 (Green ICON)
The green icon shall be displayed for at least 1.5 seconds.</t>
  </si>
  <si>
    <t>LKA_REQ_029</t>
  </si>
  <si>
    <t>LKA inactive ICON display</t>
  </si>
  <si>
    <t>When LKA transitions from Active (ADAS_LKA_State = 4) to Passive or Standby (ADAS_LKA_State = 2 / 3), the system shall turn off the LKA icon to indicate that no LKA intervention is active.
FCAM_LKA_ICON_Feed = 0x0 (ICON Off)</t>
  </si>
  <si>
    <t>LKA_REQ_030</t>
  </si>
  <si>
    <t>LKA off display</t>
  </si>
  <si>
    <t>When LKA transitions from ON
(FCAM_LKA_State = 2 / 3 / 4) to OFF (FCAM_LKA_State = 1),
the system shall not display any LKA popup.
FCAM_LA_popup = 0x0 (No Popup)</t>
  </si>
  <si>
    <t>RAEB_REQ_001</t>
  </si>
  <si>
    <t>AEB host vehicle speed range if target is Moving vehicles:</t>
  </si>
  <si>
    <t>5 - 130 kph</t>
  </si>
  <si>
    <t>RAEB_REQ_002</t>
  </si>
  <si>
    <t>AEB host vehicle speed range if target is Stationary vehicles:</t>
  </si>
  <si>
    <t>5 - 80 kph</t>
  </si>
  <si>
    <t>RAEB_REQ_003</t>
  </si>
  <si>
    <t>AEB host vehicle speed range if target is Moving VRU (Vulnerable Road User):</t>
  </si>
  <si>
    <t>RAEB_REQ_004</t>
  </si>
  <si>
    <t>AEB host vehicle speed range if target is Stationary VRU</t>
  </si>
  <si>
    <t>5 - 60 kph</t>
  </si>
  <si>
    <t>RAEB_REQ_005</t>
  </si>
  <si>
    <t>AEB host vehicle speed range if target is Crossing VRU</t>
  </si>
  <si>
    <t>RAEB_REQ_006</t>
  </si>
  <si>
    <t xml:space="preserve">AEB supported deceleration </t>
  </si>
  <si>
    <t>&lt;= 9 m/s^2</t>
  </si>
  <si>
    <t>RAEB_REQ_007</t>
  </si>
  <si>
    <t>AEB shall be active when the TCC (Time to collision) is below the threshold</t>
  </si>
  <si>
    <t>Check TTC (Time to collision) table to the right</t>
  </si>
  <si>
    <t>RAEB_REQ_008</t>
  </si>
  <si>
    <t>AEB Maximum Speed Reduction (In order to prevent rear end collision) if target is vehicles</t>
  </si>
  <si>
    <t>50 kph</t>
  </si>
  <si>
    <t>RAEB_REQ_009</t>
  </si>
  <si>
    <t>AEB Maximum Speed Reduction (In order to prevent rear end collision) if target is VRU (Vulnerable Road User)</t>
  </si>
  <si>
    <t>40 kph</t>
  </si>
  <si>
    <t>RAEB_REQ_010</t>
  </si>
  <si>
    <t>AEB Intervention can be triggered if the last AEB intervention brake ending is longer than</t>
  </si>
  <si>
    <t>[calibration] (default: 10s)</t>
  </si>
  <si>
    <t>RAEB_REQ_011</t>
  </si>
  <si>
    <t xml:space="preserve">AEB shall work </t>
  </si>
  <si>
    <t>based on detected licensable motor vehicles intended for use on public roads, i.e. motorcycles, cars, light trucks, buses, motor coaches, and other heavy vehicles.</t>
  </si>
  <si>
    <t>RAEB_REQ_012</t>
  </si>
  <si>
    <t>JA shall be active when the TCC (Time to collision) is below the threshold</t>
  </si>
  <si>
    <t>RAEB_REQ_013</t>
  </si>
  <si>
    <t>JA Object vehicle speed condition</t>
  </si>
  <si>
    <t>20 - 60 kph</t>
  </si>
  <si>
    <t>RAEB_REQ_014</t>
  </si>
  <si>
    <t>JA host vehicle operation speed range</t>
  </si>
  <si>
    <t>8 - 30 kph</t>
  </si>
  <si>
    <t>RAEB_REQ_015</t>
  </si>
  <si>
    <t xml:space="preserve">JA supported deceleration </t>
  </si>
  <si>
    <t>RAEB_REQ_016</t>
  </si>
  <si>
    <t>JA Maximum Speed Reduction</t>
  </si>
  <si>
    <t>30 kph</t>
  </si>
  <si>
    <t>RAEB_REQ_017</t>
  </si>
  <si>
    <t>JA Object types</t>
  </si>
  <si>
    <t>Vehicle, bicycle, pedestrian</t>
  </si>
  <si>
    <t>RAEB_REQ_018</t>
  </si>
  <si>
    <t xml:space="preserve">AEB can be deactivated manually only when speed </t>
  </si>
  <si>
    <t>&lt; 10 kph</t>
  </si>
  <si>
    <t>RAEB_REQ_019</t>
  </si>
  <si>
    <t>AEB Overhead discrimination</t>
  </si>
  <si>
    <t>AEB shall not activate braking based on the detection of overhead targets at a height greater than 4.5 m above the roadway</t>
  </si>
  <si>
    <t>RAEB_REQ_020</t>
  </si>
  <si>
    <t>Brake light control</t>
  </si>
  <si>
    <t>The brake lights shall be illuminated within 350 ms after AEB initiates the automatic service brake.</t>
  </si>
  <si>
    <t>RAEB_REQ_021</t>
  </si>
  <si>
    <t>When the system has detected the possibility of an imminent collision</t>
  </si>
  <si>
    <t>AEB shall be a braking demand of at least 5.0 m/s² to the service braking system of the vehicle.</t>
  </si>
  <si>
    <t>RAEB_REQ_022</t>
  </si>
  <si>
    <t>AEB Failure Rate</t>
  </si>
  <si>
    <t>For AEB function, during 100000 km one error may occur (0.001%)</t>
  </si>
  <si>
    <t>RAEB_REQ_023</t>
  </si>
  <si>
    <t>When the AEBS has detected the possibility of a collision with a pedestrian crossing the road at a constant speed of 5 km/h.</t>
  </si>
  <si>
    <t>A collision warning shall be provided and shall be provided no later than the start of emergency braking intervention.</t>
  </si>
  <si>
    <t>RAEB_REQ_024</t>
  </si>
  <si>
    <t>there shall be a braking demand of at least 5.0 m/s² to the service braking system of the vehicle.</t>
  </si>
  <si>
    <t>RAEB_REQ_025</t>
  </si>
  <si>
    <t>AEB shall initiate appropriate FVCMS countermeasures when</t>
  </si>
  <si>
    <t xml:space="preserve"> the lateral offset is less than 20 %, even if part of the target vehicle is occluded from subject vehicle sensors;</t>
  </si>
  <si>
    <t>RAEB_REQ_026</t>
  </si>
  <si>
    <t>AEB subject vehicle operation speed Vmin</t>
  </si>
  <si>
    <t>30 kph (8,4 m/s) or less (this is the highest minimum value)</t>
  </si>
  <si>
    <t>RAEB_REQ_027</t>
  </si>
  <si>
    <t>AEB subject vehicle operation speed Vmax</t>
  </si>
  <si>
    <t>100 kph (27,8 m/s) or greater (this is the lowest maximum value)</t>
  </si>
  <si>
    <t>RAEB_REQ_028</t>
  </si>
  <si>
    <t>AEB target vehicle operation speed Vmin</t>
  </si>
  <si>
    <t>less than or equal 4.2 m/s = 15 kph 
(AEB shall remain  functional while the target vehicle reduces its speed to 0 m/s)</t>
  </si>
  <si>
    <t>RAEB_REQ_029</t>
  </si>
  <si>
    <t>AEB target vehicle operation speed Vmax</t>
  </si>
  <si>
    <t>Vmax less the minimum relative velocity (KPI 73)</t>
  </si>
  <si>
    <t>RAEB_REQ_030</t>
  </si>
  <si>
    <t>AEB Maximum lateral offset (lateral discrimination)</t>
  </si>
  <si>
    <t>AEB shall function when the lateral offset is 20 % or lower in either direction. AEB may function for lateral offsets greater than 20 % at the discretion of the manufacturer.</t>
  </si>
  <si>
    <t>RAEB_REQ_031</t>
  </si>
  <si>
    <t>AEB Maximum lateral speed</t>
  </si>
  <si>
    <t>AEB shall function for relative vehicle lateral speeds of less than 0.2 m/s</t>
  </si>
  <si>
    <t>RAEB_REQ_032</t>
  </si>
  <si>
    <t>AEB allowed conditions</t>
  </si>
  <si>
    <t>1. The gear position is in one of "D" / "1" / "2" / "3" / "4" / "5" / "6" /"7" / "8" / "9" / "N".
2. The FL/FR/RL/RR doors, trunk and bonnet open state is closed
3. The Driver seatbelt buckled state is buckled.
4. The acceleration pedal is pressed less than [calibration] (default: 80%)
5. The current acceleration pedal change ratio compared with internal filtered acceleration pedal is less than [calibration] (default: 50%)
6. The steering angle is less than [calibration] (default: 90 degree).
7. The steering angle speed is less than [calibration] (default: 90 degree/s).</t>
  </si>
  <si>
    <t>RAEB_REQ_033</t>
  </si>
  <si>
    <t>AEB cancel conditions</t>
  </si>
  <si>
    <t>1. The acceleration pedal is pressed greater than [calibration] (default: 80%)
2. The current acceleration pedal change ratio compared with internal filtered acceleration pedal is greater than [calibration] (default: 50%)
3. The steering angle is greater than [calibration] (default: 90 degree).
4. The steering angle speed is greater than [calibration] (default: 90 degree/s).</t>
  </si>
  <si>
    <t>RAEB_REQ_034</t>
  </si>
  <si>
    <t xml:space="preserve">AEB shall transition to the OFF state. </t>
  </si>
  <si>
    <t xml:space="preserve">Upon turning the ignition to the off position, </t>
  </si>
  <si>
    <t>RAEB_REQ_035</t>
  </si>
  <si>
    <t>AEB enter the INACTIVE State if</t>
  </si>
  <si>
    <t>1- The ignition cycle has been completed and the engine is running
2- conditions for activating are not met(Park selected, Speed condition,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</si>
</sst>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libri"/>
      <family val="2"/>
      <scheme val="minor"/>
    </font>
    <font>
      <b/>
      <sz val="11"/>
      <color theme="0"/>
      <name val="Calibri"/>
      <family val="2"/>
      <scheme val="minor"/>
    </font>
    <font>
      <b/>
      <sz val="11"/>
      <color theme="1"/>
      <name val="Aptos"/>
    </font>
    <font>
      <sz val="11"/>
      <color theme="1"/>
      <name val="Aptos"/>
    </font>
    <font>
      <sz val="11"/>
      <color rgb="FF000000"/>
      <name val="Aptos"/>
    </font>
    <font>
      <sz val="11"/>
      <color rgb="FF242424"/>
      <name val="Aptos"/>
    </font>
    <font>
      <sz val="11"/>
      <color rgb="FF000000"/>
      <name val="Segoe UI"/>
      <family val="2"/>
    </font>
    <font>
      <b/>
      <sz val="11"/>
      <color rgb="FFFFFFFF"/>
      <name val="Aptos"/>
      <charset val="1"/>
    </font>
    <font>
      <sz val="11"/>
      <color rgb="FF000000"/>
      <name val="Aptos"/>
      <charset val="1"/>
    </font>
    <font>
      <b/>
      <sz val="11"/>
      <color rgb="FF000000"/>
      <name val="Aptos"/>
      <charset val="1"/>
    </font>
    <font>
      <sz val="12"/>
      <name val="Aptos"/>
    </font>
    <font>
      <sz val="12"/>
      <color theme="1"/>
      <name val="Aptos"/>
    </font>
  </fonts>
  <fills count="14">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249977111117893"/>
        <bgColor indexed="64"/>
      </patternFill>
    </fill>
    <fill>
      <patternFill patternType="solid">
        <fgColor theme="8" tint="-0.499984740745262"/>
        <bgColor indexed="64"/>
      </patternFill>
    </fill>
    <fill>
      <patternFill patternType="solid">
        <fgColor theme="5" tint="-0.499984740745262"/>
        <bgColor indexed="64"/>
      </patternFill>
    </fill>
    <fill>
      <patternFill patternType="solid">
        <fgColor theme="4" tint="0.79998168889431442"/>
        <bgColor indexed="64"/>
      </patternFill>
    </fill>
    <fill>
      <patternFill patternType="solid">
        <fgColor rgb="FF215F9A"/>
        <bgColor indexed="64"/>
      </patternFill>
    </fill>
    <fill>
      <patternFill patternType="solid">
        <fgColor rgb="FF92D05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theme="4"/>
      </bottom>
      <diagonal/>
    </border>
    <border>
      <left style="thin">
        <color indexed="64"/>
      </left>
      <right/>
      <top style="thin">
        <color indexed="64"/>
      </top>
      <bottom style="thin">
        <color indexed="64"/>
      </bottom>
      <diagonal/>
    </border>
    <border>
      <left style="thin">
        <color indexed="64"/>
      </left>
      <right/>
      <top style="thin">
        <color indexed="64"/>
      </top>
      <bottom style="thin">
        <color theme="4"/>
      </bottom>
      <diagonal/>
    </border>
  </borders>
  <cellStyleXfs count="1">
    <xf numFmtId="0" fontId="0" fillId="0" borderId="0"/>
  </cellStyleXfs>
  <cellXfs count="59">
    <xf numFmtId="0" fontId="0" fillId="0" borderId="0" xfId="0"/>
    <xf numFmtId="0" fontId="0" fillId="0" borderId="1" xfId="0" applyBorder="1"/>
    <xf numFmtId="0" fontId="0" fillId="0" borderId="1" xfId="0" applyBorder="1" applyAlignment="1">
      <alignment horizontal="center" vertical="center"/>
    </xf>
    <xf numFmtId="0" fontId="0" fillId="0" borderId="1" xfId="0" applyBorder="1" applyAlignment="1">
      <alignment horizont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1" fillId="0" borderId="2" xfId="0" applyFont="1" applyBorder="1" applyAlignment="1">
      <alignment horizontal="center"/>
    </xf>
    <xf numFmtId="0" fontId="1" fillId="0" borderId="2" xfId="0" applyFont="1" applyBorder="1" applyAlignment="1">
      <alignment horizontal="center" vertical="center"/>
    </xf>
    <xf numFmtId="0" fontId="3" fillId="11"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7" fillId="0" borderId="6" xfId="0" applyFont="1" applyBorder="1" applyAlignment="1">
      <alignment horizontal="center" vertical="center" wrapText="1"/>
    </xf>
    <xf numFmtId="0" fontId="5" fillId="0" borderId="3" xfId="0" applyFont="1" applyBorder="1" applyAlignment="1">
      <alignment vertical="center" wrapText="1"/>
    </xf>
    <xf numFmtId="0" fontId="3" fillId="11" borderId="7"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5" fillId="0" borderId="1" xfId="0" quotePrefix="1" applyFont="1" applyBorder="1" applyAlignment="1">
      <alignment vertical="center" wrapText="1"/>
    </xf>
    <xf numFmtId="0" fontId="5" fillId="0" borderId="7" xfId="0" quotePrefix="1" applyFont="1" applyBorder="1" applyAlignment="1">
      <alignment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vertical="center"/>
    </xf>
    <xf numFmtId="0" fontId="4" fillId="0" borderId="0" xfId="0" applyFont="1" applyAlignment="1">
      <alignment vertical="center" wrapText="1"/>
    </xf>
    <xf numFmtId="0" fontId="4" fillId="0" borderId="0" xfId="0" applyFont="1" applyAlignment="1">
      <alignment wrapText="1"/>
    </xf>
    <xf numFmtId="0" fontId="5" fillId="0" borderId="1" xfId="0" applyFont="1" applyBorder="1" applyAlignment="1">
      <alignment horizontal="left" vertical="center" wrapText="1"/>
    </xf>
    <xf numFmtId="0" fontId="4" fillId="0" borderId="1" xfId="0" applyFont="1" applyBorder="1" applyAlignment="1">
      <alignment vertical="top" wrapText="1"/>
    </xf>
    <xf numFmtId="0" fontId="4" fillId="0" borderId="3" xfId="0" quotePrefix="1" applyFont="1" applyBorder="1" applyAlignment="1">
      <alignment vertical="center" wrapText="1"/>
    </xf>
    <xf numFmtId="0" fontId="5" fillId="0" borderId="3" xfId="0" applyFont="1" applyBorder="1" applyAlignment="1">
      <alignment horizontal="left" vertical="top" wrapText="1"/>
    </xf>
    <xf numFmtId="0" fontId="4" fillId="0" borderId="1" xfId="0" quotePrefix="1" applyFont="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applyAlignment="1">
      <alignment horizontal="left" vertical="center"/>
    </xf>
    <xf numFmtId="0" fontId="4" fillId="0" borderId="1" xfId="0" applyFont="1" applyBorder="1" applyAlignment="1">
      <alignment horizontal="left" vertical="center" wrapText="1"/>
    </xf>
    <xf numFmtId="0" fontId="5" fillId="0" borderId="3" xfId="0" quotePrefix="1" applyFont="1" applyBorder="1" applyAlignment="1">
      <alignment horizontal="left" vertical="top" wrapText="1"/>
    </xf>
    <xf numFmtId="0" fontId="8" fillId="12" borderId="1" xfId="0" applyFont="1" applyFill="1" applyBorder="1" applyAlignment="1">
      <alignment wrapText="1"/>
    </xf>
    <xf numFmtId="0" fontId="10" fillId="0" borderId="1" xfId="0" applyFont="1" applyBorder="1" applyAlignment="1">
      <alignment vertical="center" wrapText="1"/>
    </xf>
    <xf numFmtId="0" fontId="9" fillId="0" borderId="1" xfId="0" applyFont="1" applyBorder="1" applyAlignment="1">
      <alignment vertical="center" wrapText="1"/>
    </xf>
    <xf numFmtId="0" fontId="10" fillId="0" borderId="1" xfId="0" applyFont="1" applyBorder="1" applyAlignment="1">
      <alignment horizontal="center" vertical="center" wrapText="1"/>
    </xf>
    <xf numFmtId="0" fontId="11" fillId="0" borderId="6" xfId="0" applyFont="1" applyBorder="1" applyAlignment="1">
      <alignment vertical="center" wrapText="1"/>
    </xf>
    <xf numFmtId="0" fontId="11" fillId="0" borderId="9" xfId="0" applyFont="1" applyBorder="1" applyAlignment="1">
      <alignment horizontal="left" vertical="center" wrapText="1"/>
    </xf>
    <xf numFmtId="0" fontId="4" fillId="0" borderId="1" xfId="0" applyFont="1" applyBorder="1" applyAlignment="1">
      <alignment horizontal="center" vertical="center"/>
    </xf>
    <xf numFmtId="0" fontId="4" fillId="0" borderId="1" xfId="0" applyFont="1" applyBorder="1"/>
    <xf numFmtId="0" fontId="11" fillId="0" borderId="9" xfId="0" applyFont="1" applyBorder="1" applyAlignment="1">
      <alignment vertical="center" wrapText="1"/>
    </xf>
    <xf numFmtId="0" fontId="11" fillId="0" borderId="8" xfId="0" applyFont="1" applyBorder="1" applyAlignment="1">
      <alignment vertical="center" wrapText="1"/>
    </xf>
    <xf numFmtId="0" fontId="11" fillId="0" borderId="10" xfId="0" applyFont="1" applyBorder="1" applyAlignment="1">
      <alignment vertical="center" wrapText="1"/>
    </xf>
    <xf numFmtId="0" fontId="12" fillId="0" borderId="6" xfId="0" applyFont="1" applyBorder="1" applyAlignment="1">
      <alignment vertical="center" wrapText="1"/>
    </xf>
    <xf numFmtId="0" fontId="12" fillId="0" borderId="9" xfId="0" applyFont="1" applyBorder="1" applyAlignment="1">
      <alignment vertical="center" wrapText="1"/>
    </xf>
    <xf numFmtId="0" fontId="12" fillId="0" borderId="8" xfId="0" applyFont="1" applyBorder="1" applyAlignment="1">
      <alignment vertical="center" wrapText="1"/>
    </xf>
    <xf numFmtId="0" fontId="12" fillId="0" borderId="10" xfId="0" applyFont="1" applyBorder="1" applyAlignment="1">
      <alignment vertical="center" wrapText="1"/>
    </xf>
    <xf numFmtId="0" fontId="2" fillId="9" borderId="1" xfId="0" applyFont="1" applyFill="1" applyBorder="1" applyAlignment="1">
      <alignment horizontal="center"/>
    </xf>
    <xf numFmtId="0" fontId="2" fillId="10" borderId="3" xfId="0" applyFont="1" applyFill="1" applyBorder="1" applyAlignment="1">
      <alignment horizontal="center"/>
    </xf>
    <xf numFmtId="0" fontId="2" fillId="10" borderId="4" xfId="0" applyFont="1" applyFill="1" applyBorder="1" applyAlignment="1">
      <alignment horizontal="center"/>
    </xf>
    <xf numFmtId="0" fontId="2" fillId="10" borderId="5" xfId="0" applyFont="1" applyFill="1" applyBorder="1" applyAlignment="1">
      <alignment horizontal="center"/>
    </xf>
    <xf numFmtId="0" fontId="4" fillId="13" borderId="1" xfId="0" applyFont="1" applyFill="1" applyBorder="1" applyAlignment="1">
      <alignment horizontal="center"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8</xdr:row>
      <xdr:rowOff>0</xdr:rowOff>
    </xdr:from>
    <xdr:to>
      <xdr:col>14</xdr:col>
      <xdr:colOff>304800</xdr:colOff>
      <xdr:row>9</xdr:row>
      <xdr:rowOff>200025</xdr:rowOff>
    </xdr:to>
    <xdr:pic>
      <xdr:nvPicPr>
        <xdr:cNvPr id="2" name="Ảnh 1">
          <a:extLst>
            <a:ext uri="{FF2B5EF4-FFF2-40B4-BE49-F238E27FC236}">
              <a16:creationId xmlns:a16="http://schemas.microsoft.com/office/drawing/2014/main" id="{0A047CF8-5E94-CC36-00FE-AD7D3171F64D}"/>
            </a:ext>
          </a:extLst>
        </xdr:cNvPr>
        <xdr:cNvPicPr>
          <a:picLocks noChangeAspect="1"/>
        </xdr:cNvPicPr>
      </xdr:nvPicPr>
      <xdr:blipFill>
        <a:blip xmlns:r="http://schemas.openxmlformats.org/officeDocument/2006/relationships" r:embed="rId1"/>
        <a:stretch>
          <a:fillRect/>
        </a:stretch>
      </xdr:blipFill>
      <xdr:spPr>
        <a:xfrm>
          <a:off x="12630150" y="2152650"/>
          <a:ext cx="4572000" cy="590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B62C0-AD12-4B42-AD64-D2449B74F4D7}">
  <dimension ref="B2:I23"/>
  <sheetViews>
    <sheetView workbookViewId="0">
      <pane xSplit="8" ySplit="2" topLeftCell="I3" activePane="bottomRight" state="frozen"/>
      <selection pane="bottomRight" activeCell="H10" sqref="H10"/>
      <selection pane="bottomLeft"/>
      <selection pane="topRight"/>
    </sheetView>
  </sheetViews>
  <sheetFormatPr defaultRowHeight="15"/>
  <cols>
    <col min="4" max="4" width="33.140625" customWidth="1"/>
    <col min="5" max="5" width="17.5703125" customWidth="1"/>
    <col min="7" max="7" width="15.28515625" customWidth="1"/>
    <col min="9" max="9" width="64" customWidth="1"/>
  </cols>
  <sheetData>
    <row r="2" spans="2:9">
      <c r="B2" s="54" t="s">
        <v>0</v>
      </c>
      <c r="C2" s="54"/>
      <c r="D2" s="54"/>
      <c r="E2" s="54"/>
      <c r="G2" s="55" t="s">
        <v>1</v>
      </c>
      <c r="H2" s="56"/>
      <c r="I2" s="57"/>
    </row>
    <row r="3" spans="2:9">
      <c r="B3" s="11" t="s">
        <v>2</v>
      </c>
      <c r="C3" s="11" t="s">
        <v>3</v>
      </c>
      <c r="D3" s="11" t="s">
        <v>4</v>
      </c>
      <c r="E3" s="11" t="s">
        <v>5</v>
      </c>
      <c r="G3" s="12" t="s">
        <v>6</v>
      </c>
      <c r="H3" s="12" t="s">
        <v>3</v>
      </c>
      <c r="I3" s="12" t="s">
        <v>7</v>
      </c>
    </row>
    <row r="4" spans="2:9">
      <c r="B4" s="2">
        <v>1</v>
      </c>
      <c r="C4" s="4" t="s">
        <v>8</v>
      </c>
      <c r="D4" s="1" t="s">
        <v>9</v>
      </c>
      <c r="E4" s="3"/>
      <c r="G4" s="1"/>
      <c r="H4" s="1"/>
      <c r="I4" s="1"/>
    </row>
    <row r="5" spans="2:9">
      <c r="B5" s="2">
        <v>2</v>
      </c>
      <c r="C5" s="5" t="s">
        <v>10</v>
      </c>
      <c r="D5" s="1" t="s">
        <v>11</v>
      </c>
      <c r="E5" s="3">
        <f>COUNTA('2. ACC'!B3:B778)</f>
        <v>74</v>
      </c>
      <c r="G5" s="1"/>
      <c r="H5" s="1"/>
      <c r="I5" s="1"/>
    </row>
    <row r="6" spans="2:9">
      <c r="B6" s="2">
        <v>3</v>
      </c>
      <c r="C6" s="5" t="s">
        <v>12</v>
      </c>
      <c r="D6" s="1" t="s">
        <v>13</v>
      </c>
      <c r="E6" s="3"/>
      <c r="G6" s="1"/>
      <c r="H6" s="1"/>
      <c r="I6" s="1"/>
    </row>
    <row r="7" spans="2:9">
      <c r="B7" s="2">
        <v>4</v>
      </c>
      <c r="C7" s="5" t="s">
        <v>14</v>
      </c>
      <c r="D7" s="1" t="s">
        <v>15</v>
      </c>
      <c r="E7" s="3"/>
      <c r="G7" s="1"/>
      <c r="H7" s="1"/>
      <c r="I7" s="1"/>
    </row>
    <row r="8" spans="2:9">
      <c r="B8" s="2">
        <v>5</v>
      </c>
      <c r="C8" s="6" t="s">
        <v>16</v>
      </c>
      <c r="D8" s="1" t="s">
        <v>17</v>
      </c>
      <c r="E8" s="3"/>
    </row>
    <row r="9" spans="2:9">
      <c r="B9" s="2">
        <v>6</v>
      </c>
      <c r="C9" s="6" t="s">
        <v>18</v>
      </c>
      <c r="D9" s="1" t="s">
        <v>19</v>
      </c>
      <c r="E9" s="3"/>
    </row>
    <row r="10" spans="2:9">
      <c r="B10" s="2">
        <v>7</v>
      </c>
      <c r="C10" s="6" t="s">
        <v>20</v>
      </c>
      <c r="D10" s="1" t="s">
        <v>21</v>
      </c>
      <c r="E10" s="3"/>
    </row>
    <row r="11" spans="2:9">
      <c r="B11" s="2">
        <v>8</v>
      </c>
      <c r="C11" s="7" t="s">
        <v>22</v>
      </c>
      <c r="D11" s="1" t="s">
        <v>23</v>
      </c>
      <c r="E11" s="3"/>
    </row>
    <row r="12" spans="2:9">
      <c r="B12" s="2">
        <v>9</v>
      </c>
      <c r="C12" s="7" t="s">
        <v>24</v>
      </c>
      <c r="D12" s="1" t="s">
        <v>25</v>
      </c>
      <c r="E12" s="3"/>
      <c r="G12" s="39" t="s">
        <v>26</v>
      </c>
      <c r="H12" s="39" t="s">
        <v>27</v>
      </c>
      <c r="I12" s="39" t="s">
        <v>28</v>
      </c>
    </row>
    <row r="13" spans="2:9" ht="29.25">
      <c r="B13" s="2">
        <v>10</v>
      </c>
      <c r="C13" s="7" t="s">
        <v>29</v>
      </c>
      <c r="D13" s="1" t="s">
        <v>30</v>
      </c>
      <c r="E13" s="3"/>
      <c r="G13" s="40" t="s">
        <v>31</v>
      </c>
      <c r="H13" s="42" t="s">
        <v>32</v>
      </c>
      <c r="I13" s="41" t="s">
        <v>33</v>
      </c>
    </row>
    <row r="14" spans="2:9" ht="29.25">
      <c r="B14" s="2">
        <v>11</v>
      </c>
      <c r="C14" s="7" t="s">
        <v>34</v>
      </c>
      <c r="D14" s="1" t="s">
        <v>35</v>
      </c>
      <c r="E14" s="3"/>
      <c r="G14" s="40" t="s">
        <v>36</v>
      </c>
      <c r="H14" s="42" t="s">
        <v>37</v>
      </c>
      <c r="I14" s="41" t="s">
        <v>38</v>
      </c>
    </row>
    <row r="15" spans="2:9" ht="30.75">
      <c r="B15" s="2">
        <v>12</v>
      </c>
      <c r="C15" s="9" t="s">
        <v>39</v>
      </c>
      <c r="D15" s="1" t="s">
        <v>40</v>
      </c>
      <c r="E15" s="3"/>
      <c r="G15" s="40" t="s">
        <v>41</v>
      </c>
      <c r="H15" s="42" t="s">
        <v>42</v>
      </c>
      <c r="I15" s="41" t="s">
        <v>43</v>
      </c>
    </row>
    <row r="16" spans="2:9" ht="30.75">
      <c r="B16" s="2">
        <v>13</v>
      </c>
      <c r="C16" s="9" t="s">
        <v>44</v>
      </c>
      <c r="D16" s="1" t="s">
        <v>45</v>
      </c>
      <c r="E16" s="3"/>
      <c r="G16" s="40" t="s">
        <v>46</v>
      </c>
      <c r="H16" s="42" t="s">
        <v>47</v>
      </c>
      <c r="I16" s="41" t="s">
        <v>48</v>
      </c>
    </row>
    <row r="17" spans="2:5">
      <c r="B17" s="2">
        <v>14</v>
      </c>
      <c r="C17" s="8" t="s">
        <v>49</v>
      </c>
      <c r="D17" s="1" t="s">
        <v>50</v>
      </c>
      <c r="E17" s="3"/>
    </row>
    <row r="18" spans="2:5">
      <c r="B18" s="2">
        <v>15</v>
      </c>
      <c r="C18" s="8" t="s">
        <v>51</v>
      </c>
      <c r="D18" s="1" t="s">
        <v>52</v>
      </c>
      <c r="E18" s="3"/>
    </row>
    <row r="19" spans="2:5">
      <c r="B19" s="2">
        <v>16</v>
      </c>
      <c r="C19" s="8" t="s">
        <v>53</v>
      </c>
      <c r="D19" s="1" t="s">
        <v>54</v>
      </c>
      <c r="E19" s="3"/>
    </row>
    <row r="20" spans="2:5">
      <c r="B20" s="2">
        <v>17</v>
      </c>
      <c r="C20" s="10" t="s">
        <v>55</v>
      </c>
      <c r="D20" s="1" t="s">
        <v>56</v>
      </c>
      <c r="E20" s="3"/>
    </row>
    <row r="21" spans="2:5">
      <c r="B21" s="2">
        <v>18</v>
      </c>
      <c r="C21" s="10" t="s">
        <v>57</v>
      </c>
      <c r="D21" s="1" t="s">
        <v>58</v>
      </c>
      <c r="E21" s="3"/>
    </row>
    <row r="22" spans="2:5">
      <c r="B22" s="2">
        <v>19</v>
      </c>
      <c r="C22" s="10" t="s">
        <v>59</v>
      </c>
      <c r="D22" s="1" t="s">
        <v>60</v>
      </c>
      <c r="E22" s="3"/>
    </row>
    <row r="23" spans="2:5">
      <c r="B23" s="2">
        <v>20</v>
      </c>
      <c r="C23" s="2" t="s">
        <v>61</v>
      </c>
      <c r="D23" s="1" t="s">
        <v>62</v>
      </c>
      <c r="E23" s="3"/>
    </row>
  </sheetData>
  <mergeCells count="2">
    <mergeCell ref="B2:E2"/>
    <mergeCell ref="G2:I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92B19-4DB5-4F87-87D1-7E5660A78B77}">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CA017-7D2C-4522-A381-13743C4B6920}">
  <sheetPr>
    <tabColor rgb="FF92D050"/>
  </sheetPr>
  <dimension ref="B2:F76"/>
  <sheetViews>
    <sheetView workbookViewId="0">
      <selection activeCell="B3" sqref="B3"/>
    </sheetView>
  </sheetViews>
  <sheetFormatPr defaultRowHeight="15"/>
  <cols>
    <col min="1" max="1" width="5.5703125" style="21" customWidth="1"/>
    <col min="2" max="2" width="15.42578125" style="21" customWidth="1"/>
    <col min="3" max="3" width="38.28515625" style="21" customWidth="1"/>
    <col min="4" max="4" width="86.5703125" style="21" customWidth="1"/>
    <col min="5" max="5" width="9.140625" style="21"/>
    <col min="6" max="6" width="34.7109375" style="21" customWidth="1"/>
    <col min="7" max="16384" width="9.140625" style="21"/>
  </cols>
  <sheetData>
    <row r="2" spans="2:6" s="20" customFormat="1">
      <c r="B2" s="13" t="s">
        <v>63</v>
      </c>
      <c r="C2" s="13" t="s">
        <v>64</v>
      </c>
      <c r="D2" s="13" t="s">
        <v>65</v>
      </c>
      <c r="E2" s="19" t="s">
        <v>66</v>
      </c>
      <c r="F2" s="19" t="s">
        <v>67</v>
      </c>
    </row>
    <row r="3" spans="2:6" ht="115.5">
      <c r="B3" s="17" t="s">
        <v>68</v>
      </c>
      <c r="C3" s="15" t="s">
        <v>69</v>
      </c>
      <c r="D3" s="18" t="s">
        <v>70</v>
      </c>
      <c r="E3" s="24" t="s">
        <v>71</v>
      </c>
      <c r="F3" s="15" t="s">
        <v>72</v>
      </c>
    </row>
    <row r="4" spans="2:6" ht="115.5">
      <c r="B4" s="17" t="s">
        <v>73</v>
      </c>
      <c r="C4" s="15" t="s">
        <v>74</v>
      </c>
      <c r="D4" s="15" t="s">
        <v>75</v>
      </c>
      <c r="E4" s="25" t="s">
        <v>71</v>
      </c>
      <c r="F4" s="22" t="s">
        <v>76</v>
      </c>
    </row>
    <row r="5" spans="2:6" ht="72.75">
      <c r="B5" s="17" t="s">
        <v>77</v>
      </c>
      <c r="C5" s="15" t="s">
        <v>78</v>
      </c>
      <c r="D5" s="15" t="s">
        <v>79</v>
      </c>
      <c r="E5" s="25" t="s">
        <v>71</v>
      </c>
      <c r="F5" s="22" t="s">
        <v>80</v>
      </c>
    </row>
    <row r="6" spans="2:6" ht="57.75">
      <c r="B6" s="17" t="s">
        <v>81</v>
      </c>
      <c r="C6" s="15" t="s">
        <v>82</v>
      </c>
      <c r="D6" s="15" t="s">
        <v>83</v>
      </c>
      <c r="E6" s="25" t="s">
        <v>71</v>
      </c>
      <c r="F6" s="22" t="s">
        <v>84</v>
      </c>
    </row>
    <row r="7" spans="2:6" ht="57.75">
      <c r="B7" s="17" t="s">
        <v>85</v>
      </c>
      <c r="C7" s="15" t="s">
        <v>86</v>
      </c>
      <c r="D7" s="15" t="s">
        <v>87</v>
      </c>
      <c r="E7" s="25" t="s">
        <v>71</v>
      </c>
      <c r="F7" s="22" t="s">
        <v>88</v>
      </c>
    </row>
    <row r="8" spans="2:6" ht="87">
      <c r="B8" s="17" t="s">
        <v>89</v>
      </c>
      <c r="C8" s="15" t="s">
        <v>90</v>
      </c>
      <c r="D8" s="15" t="s">
        <v>91</v>
      </c>
      <c r="E8" s="25" t="s">
        <v>71</v>
      </c>
      <c r="F8" s="22" t="s">
        <v>92</v>
      </c>
    </row>
    <row r="9" spans="2:6" ht="87">
      <c r="B9" s="17" t="s">
        <v>93</v>
      </c>
      <c r="C9" s="16" t="s">
        <v>94</v>
      </c>
      <c r="D9" s="15" t="s">
        <v>95</v>
      </c>
      <c r="E9" s="25" t="s">
        <v>71</v>
      </c>
      <c r="F9" s="22" t="s">
        <v>92</v>
      </c>
    </row>
    <row r="10" spans="2:6" ht="72.75">
      <c r="B10" s="17" t="s">
        <v>96</v>
      </c>
      <c r="C10" s="14" t="s">
        <v>97</v>
      </c>
      <c r="D10" s="14" t="s">
        <v>98</v>
      </c>
      <c r="E10" s="25" t="s">
        <v>71</v>
      </c>
      <c r="F10" s="23" t="s">
        <v>99</v>
      </c>
    </row>
    <row r="11" spans="2:6" ht="29.25">
      <c r="B11" s="17" t="s">
        <v>100</v>
      </c>
      <c r="C11" s="15" t="s">
        <v>101</v>
      </c>
      <c r="D11" s="15" t="s">
        <v>102</v>
      </c>
      <c r="E11" s="24" t="s">
        <v>103</v>
      </c>
      <c r="F11" s="14" t="s">
        <v>104</v>
      </c>
    </row>
    <row r="12" spans="2:6" ht="29.25">
      <c r="B12" s="17" t="s">
        <v>105</v>
      </c>
      <c r="C12" s="15" t="s">
        <v>106</v>
      </c>
      <c r="D12" s="15" t="s">
        <v>107</v>
      </c>
      <c r="E12" s="24" t="s">
        <v>103</v>
      </c>
      <c r="F12" s="14" t="s">
        <v>104</v>
      </c>
    </row>
    <row r="13" spans="2:6" ht="29.25">
      <c r="B13" s="17" t="s">
        <v>108</v>
      </c>
      <c r="C13" s="14" t="s">
        <v>109</v>
      </c>
      <c r="D13" s="14" t="s">
        <v>110</v>
      </c>
      <c r="E13" s="24" t="s">
        <v>111</v>
      </c>
      <c r="F13" s="14" t="s">
        <v>112</v>
      </c>
    </row>
    <row r="14" spans="2:6" ht="57.75">
      <c r="B14" s="17" t="s">
        <v>113</v>
      </c>
      <c r="C14" s="14" t="s">
        <v>114</v>
      </c>
      <c r="D14" s="14" t="s">
        <v>115</v>
      </c>
      <c r="E14" s="24" t="s">
        <v>116</v>
      </c>
      <c r="F14" s="14" t="s">
        <v>117</v>
      </c>
    </row>
    <row r="15" spans="2:6" ht="57.75">
      <c r="B15" s="17" t="s">
        <v>118</v>
      </c>
      <c r="C15" s="14" t="s">
        <v>114</v>
      </c>
      <c r="D15" s="14" t="s">
        <v>119</v>
      </c>
      <c r="E15" s="24" t="s">
        <v>116</v>
      </c>
      <c r="F15" s="14" t="s">
        <v>117</v>
      </c>
    </row>
    <row r="16" spans="2:6" ht="29.25">
      <c r="B16" s="17" t="s">
        <v>120</v>
      </c>
      <c r="C16" s="14" t="s">
        <v>121</v>
      </c>
      <c r="D16" s="14" t="s">
        <v>122</v>
      </c>
      <c r="E16" s="24" t="s">
        <v>71</v>
      </c>
      <c r="F16" s="14" t="s">
        <v>117</v>
      </c>
    </row>
    <row r="17" spans="2:6" ht="29.25">
      <c r="B17" s="17" t="s">
        <v>123</v>
      </c>
      <c r="C17" s="15" t="s">
        <v>124</v>
      </c>
      <c r="D17" s="15" t="s">
        <v>125</v>
      </c>
      <c r="E17" s="24" t="s">
        <v>103</v>
      </c>
      <c r="F17" s="14" t="s">
        <v>117</v>
      </c>
    </row>
    <row r="18" spans="2:6" ht="29.25">
      <c r="B18" s="17" t="s">
        <v>126</v>
      </c>
      <c r="C18" s="15" t="s">
        <v>127</v>
      </c>
      <c r="D18" s="15" t="s">
        <v>128</v>
      </c>
      <c r="E18" s="24" t="s">
        <v>103</v>
      </c>
      <c r="F18" s="14" t="s">
        <v>117</v>
      </c>
    </row>
    <row r="19" spans="2:6" ht="29.25">
      <c r="B19" s="17" t="s">
        <v>129</v>
      </c>
      <c r="C19" s="15" t="s">
        <v>130</v>
      </c>
      <c r="D19" s="15" t="s">
        <v>131</v>
      </c>
      <c r="E19" s="24" t="s">
        <v>103</v>
      </c>
      <c r="F19" s="14" t="s">
        <v>117</v>
      </c>
    </row>
    <row r="20" spans="2:6" ht="29.25">
      <c r="B20" s="17" t="s">
        <v>132</v>
      </c>
      <c r="C20" s="15" t="s">
        <v>133</v>
      </c>
      <c r="D20" s="15" t="s">
        <v>134</v>
      </c>
      <c r="E20" s="24" t="s">
        <v>103</v>
      </c>
      <c r="F20" s="14" t="s">
        <v>117</v>
      </c>
    </row>
    <row r="21" spans="2:6" ht="43.5">
      <c r="B21" s="17" t="s">
        <v>135</v>
      </c>
      <c r="C21" s="15" t="s">
        <v>136</v>
      </c>
      <c r="D21" s="15" t="s">
        <v>137</v>
      </c>
      <c r="E21" s="24" t="s">
        <v>103</v>
      </c>
      <c r="F21" s="14" t="s">
        <v>117</v>
      </c>
    </row>
    <row r="22" spans="2:6" ht="43.5">
      <c r="B22" s="17" t="s">
        <v>138</v>
      </c>
      <c r="C22" s="15" t="s">
        <v>139</v>
      </c>
      <c r="D22" s="15" t="s">
        <v>140</v>
      </c>
      <c r="E22" s="24" t="s">
        <v>103</v>
      </c>
      <c r="F22" s="14" t="s">
        <v>117</v>
      </c>
    </row>
    <row r="23" spans="2:6" ht="43.5">
      <c r="B23" s="17" t="s">
        <v>141</v>
      </c>
      <c r="C23" s="15" t="s">
        <v>142</v>
      </c>
      <c r="D23" s="15" t="s">
        <v>143</v>
      </c>
      <c r="E23" s="24" t="s">
        <v>111</v>
      </c>
      <c r="F23" s="14" t="s">
        <v>117</v>
      </c>
    </row>
    <row r="24" spans="2:6" ht="29.25">
      <c r="B24" s="17" t="s">
        <v>144</v>
      </c>
      <c r="C24" s="15" t="s">
        <v>145</v>
      </c>
      <c r="D24" s="15" t="s">
        <v>146</v>
      </c>
      <c r="E24" s="24" t="s">
        <v>111</v>
      </c>
      <c r="F24" s="14" t="s">
        <v>117</v>
      </c>
    </row>
    <row r="25" spans="2:6" ht="72.75">
      <c r="B25" s="17" t="s">
        <v>147</v>
      </c>
      <c r="C25" s="14" t="s">
        <v>148</v>
      </c>
      <c r="D25" s="14" t="s">
        <v>149</v>
      </c>
      <c r="E25" s="24" t="s">
        <v>71</v>
      </c>
      <c r="F25" s="14" t="s">
        <v>117</v>
      </c>
    </row>
    <row r="26" spans="2:6" ht="72.75">
      <c r="B26" s="17" t="s">
        <v>150</v>
      </c>
      <c r="C26" s="14" t="s">
        <v>151</v>
      </c>
      <c r="D26" s="14" t="s">
        <v>152</v>
      </c>
      <c r="E26" s="24" t="s">
        <v>71</v>
      </c>
      <c r="F26" s="14" t="s">
        <v>117</v>
      </c>
    </row>
    <row r="27" spans="2:6" ht="29.25">
      <c r="B27" s="17" t="s">
        <v>153</v>
      </c>
      <c r="C27" s="14" t="s">
        <v>154</v>
      </c>
      <c r="D27" s="14" t="s">
        <v>155</v>
      </c>
      <c r="E27" s="24" t="s">
        <v>71</v>
      </c>
      <c r="F27" s="14" t="s">
        <v>117</v>
      </c>
    </row>
    <row r="28" spans="2:6" ht="29.25">
      <c r="B28" s="17" t="s">
        <v>156</v>
      </c>
      <c r="C28" s="14" t="s">
        <v>157</v>
      </c>
      <c r="D28" s="14" t="s">
        <v>155</v>
      </c>
      <c r="E28" s="24" t="s">
        <v>71</v>
      </c>
      <c r="F28" s="14" t="s">
        <v>117</v>
      </c>
    </row>
    <row r="29" spans="2:6" ht="29.25">
      <c r="B29" s="17" t="s">
        <v>158</v>
      </c>
      <c r="C29" s="14" t="s">
        <v>159</v>
      </c>
      <c r="D29" s="14" t="s">
        <v>160</v>
      </c>
      <c r="E29" s="24" t="s">
        <v>71</v>
      </c>
      <c r="F29" s="14" t="s">
        <v>117</v>
      </c>
    </row>
    <row r="30" spans="2:6" ht="29.25">
      <c r="B30" s="17" t="s">
        <v>161</v>
      </c>
      <c r="C30" s="14" t="s">
        <v>162</v>
      </c>
      <c r="D30" s="14" t="s">
        <v>163</v>
      </c>
      <c r="E30" s="24" t="s">
        <v>71</v>
      </c>
      <c r="F30" s="14" t="s">
        <v>117</v>
      </c>
    </row>
    <row r="31" spans="2:6" ht="29.25">
      <c r="B31" s="17" t="s">
        <v>164</v>
      </c>
      <c r="C31" s="14" t="s">
        <v>165</v>
      </c>
      <c r="D31" s="14" t="s">
        <v>166</v>
      </c>
      <c r="E31" s="24" t="s">
        <v>103</v>
      </c>
      <c r="F31" s="14" t="s">
        <v>117</v>
      </c>
    </row>
    <row r="32" spans="2:6" ht="29.25">
      <c r="B32" s="17" t="s">
        <v>167</v>
      </c>
      <c r="C32" s="14" t="s">
        <v>168</v>
      </c>
      <c r="D32" s="14" t="s">
        <v>169</v>
      </c>
      <c r="E32" s="24" t="s">
        <v>116</v>
      </c>
      <c r="F32" s="14" t="s">
        <v>117</v>
      </c>
    </row>
    <row r="33" spans="2:6" ht="57.75">
      <c r="B33" s="17" t="s">
        <v>170</v>
      </c>
      <c r="C33" s="15" t="s">
        <v>171</v>
      </c>
      <c r="D33" s="15" t="s">
        <v>172</v>
      </c>
      <c r="E33" s="24" t="s">
        <v>111</v>
      </c>
      <c r="F33" s="14" t="s">
        <v>117</v>
      </c>
    </row>
    <row r="34" spans="2:6" ht="201.75">
      <c r="B34" s="17" t="s">
        <v>173</v>
      </c>
      <c r="C34" s="15" t="s">
        <v>174</v>
      </c>
      <c r="D34" s="15" t="s">
        <v>175</v>
      </c>
      <c r="E34" s="24" t="s">
        <v>111</v>
      </c>
      <c r="F34" s="14" t="s">
        <v>117</v>
      </c>
    </row>
    <row r="35" spans="2:6" ht="159">
      <c r="B35" s="17" t="s">
        <v>176</v>
      </c>
      <c r="C35" s="15" t="s">
        <v>177</v>
      </c>
      <c r="D35" s="15" t="s">
        <v>178</v>
      </c>
      <c r="E35" s="24" t="s">
        <v>116</v>
      </c>
      <c r="F35" s="14" t="s">
        <v>117</v>
      </c>
    </row>
    <row r="36" spans="2:6" ht="72.75">
      <c r="B36" s="17" t="s">
        <v>179</v>
      </c>
      <c r="C36" s="15" t="s">
        <v>180</v>
      </c>
      <c r="D36" s="15" t="s">
        <v>181</v>
      </c>
      <c r="E36" s="24" t="s">
        <v>116</v>
      </c>
      <c r="F36" s="14" t="s">
        <v>117</v>
      </c>
    </row>
    <row r="37" spans="2:6" ht="130.5">
      <c r="B37" s="17" t="s">
        <v>182</v>
      </c>
      <c r="C37" s="15" t="s">
        <v>183</v>
      </c>
      <c r="D37" s="15" t="s">
        <v>184</v>
      </c>
      <c r="E37" s="24" t="s">
        <v>116</v>
      </c>
      <c r="F37" s="14" t="s">
        <v>117</v>
      </c>
    </row>
    <row r="38" spans="2:6" ht="115.5">
      <c r="B38" s="17" t="s">
        <v>185</v>
      </c>
      <c r="C38" s="14" t="s">
        <v>186</v>
      </c>
      <c r="D38" s="14" t="s">
        <v>187</v>
      </c>
      <c r="E38" s="24" t="s">
        <v>111</v>
      </c>
      <c r="F38" s="14" t="s">
        <v>117</v>
      </c>
    </row>
    <row r="39" spans="2:6" ht="245.25">
      <c r="B39" s="17" t="s">
        <v>188</v>
      </c>
      <c r="C39" s="14" t="s">
        <v>189</v>
      </c>
      <c r="D39" s="14" t="s">
        <v>190</v>
      </c>
      <c r="E39" s="24" t="s">
        <v>111</v>
      </c>
      <c r="F39" s="14" t="s">
        <v>117</v>
      </c>
    </row>
    <row r="40" spans="2:6" ht="29.25">
      <c r="B40" s="17" t="s">
        <v>191</v>
      </c>
      <c r="C40" s="14" t="s">
        <v>192</v>
      </c>
      <c r="D40" s="14" t="s">
        <v>193</v>
      </c>
      <c r="E40" s="24" t="s">
        <v>111</v>
      </c>
      <c r="F40" s="14" t="s">
        <v>117</v>
      </c>
    </row>
    <row r="41" spans="2:6" ht="346.5">
      <c r="B41" s="17" t="s">
        <v>194</v>
      </c>
      <c r="C41" s="14" t="s">
        <v>195</v>
      </c>
      <c r="D41" s="14" t="s">
        <v>196</v>
      </c>
      <c r="E41" s="24" t="s">
        <v>116</v>
      </c>
      <c r="F41" s="14" t="s">
        <v>117</v>
      </c>
    </row>
    <row r="42" spans="2:6" ht="29.25">
      <c r="B42" s="17" t="s">
        <v>197</v>
      </c>
      <c r="C42" s="14" t="s">
        <v>198</v>
      </c>
      <c r="D42" s="14" t="s">
        <v>199</v>
      </c>
      <c r="E42" s="24" t="s">
        <v>116</v>
      </c>
      <c r="F42" s="14" t="s">
        <v>117</v>
      </c>
    </row>
    <row r="43" spans="2:6" ht="29.25">
      <c r="B43" s="17" t="s">
        <v>200</v>
      </c>
      <c r="C43" s="14" t="s">
        <v>201</v>
      </c>
      <c r="D43" s="14" t="s">
        <v>202</v>
      </c>
      <c r="E43" s="24" t="s">
        <v>116</v>
      </c>
      <c r="F43" s="14" t="s">
        <v>117</v>
      </c>
    </row>
    <row r="44" spans="2:6" ht="29.25">
      <c r="B44" s="17" t="s">
        <v>203</v>
      </c>
      <c r="C44" s="14" t="s">
        <v>204</v>
      </c>
      <c r="D44" s="14" t="s">
        <v>205</v>
      </c>
      <c r="E44" s="24" t="s">
        <v>116</v>
      </c>
      <c r="F44" s="14" t="s">
        <v>117</v>
      </c>
    </row>
    <row r="45" spans="2:6" ht="29.25">
      <c r="B45" s="17" t="s">
        <v>206</v>
      </c>
      <c r="C45" s="14" t="s">
        <v>207</v>
      </c>
      <c r="D45" s="14" t="s">
        <v>199</v>
      </c>
      <c r="E45" s="24" t="s">
        <v>116</v>
      </c>
      <c r="F45" s="14" t="s">
        <v>117</v>
      </c>
    </row>
    <row r="46" spans="2:6" ht="43.5">
      <c r="B46" s="17" t="s">
        <v>208</v>
      </c>
      <c r="C46" s="14" t="s">
        <v>209</v>
      </c>
      <c r="D46" s="14" t="s">
        <v>210</v>
      </c>
      <c r="E46" s="24" t="s">
        <v>116</v>
      </c>
      <c r="F46" s="14" t="s">
        <v>117</v>
      </c>
    </row>
    <row r="47" spans="2:6" ht="101.25">
      <c r="B47" s="17" t="s">
        <v>211</v>
      </c>
      <c r="C47" s="14" t="s">
        <v>212</v>
      </c>
      <c r="D47" s="14" t="s">
        <v>213</v>
      </c>
      <c r="E47" s="24" t="s">
        <v>116</v>
      </c>
      <c r="F47" s="14" t="s">
        <v>117</v>
      </c>
    </row>
    <row r="48" spans="2:6" ht="189.75">
      <c r="B48" s="17" t="s">
        <v>214</v>
      </c>
      <c r="C48" s="14" t="s">
        <v>215</v>
      </c>
      <c r="D48" s="14" t="s">
        <v>216</v>
      </c>
      <c r="E48" s="24" t="s">
        <v>116</v>
      </c>
      <c r="F48" s="14" t="s">
        <v>117</v>
      </c>
    </row>
    <row r="49" spans="2:6" ht="29.25">
      <c r="B49" s="17" t="s">
        <v>217</v>
      </c>
      <c r="C49" s="14" t="s">
        <v>218</v>
      </c>
      <c r="D49" s="14" t="s">
        <v>219</v>
      </c>
      <c r="E49" s="24" t="s">
        <v>116</v>
      </c>
      <c r="F49" s="14" t="s">
        <v>117</v>
      </c>
    </row>
    <row r="50" spans="2:6" ht="158.25" customHeight="1">
      <c r="B50" s="17" t="s">
        <v>220</v>
      </c>
      <c r="C50" s="14" t="s">
        <v>221</v>
      </c>
      <c r="D50" s="14" t="s">
        <v>222</v>
      </c>
      <c r="E50" s="24" t="s">
        <v>116</v>
      </c>
      <c r="F50" s="14" t="s">
        <v>117</v>
      </c>
    </row>
    <row r="51" spans="2:6" ht="29.25">
      <c r="B51" s="17" t="s">
        <v>223</v>
      </c>
      <c r="C51" s="14" t="s">
        <v>224</v>
      </c>
      <c r="D51" s="14" t="s">
        <v>225</v>
      </c>
      <c r="E51" s="24" t="s">
        <v>116</v>
      </c>
      <c r="F51" s="14" t="s">
        <v>117</v>
      </c>
    </row>
    <row r="52" spans="2:6" ht="115.5">
      <c r="B52" s="17" t="s">
        <v>226</v>
      </c>
      <c r="C52" s="14" t="s">
        <v>227</v>
      </c>
      <c r="D52" s="14" t="s">
        <v>228</v>
      </c>
      <c r="E52" s="24" t="s">
        <v>116</v>
      </c>
      <c r="F52" s="14" t="s">
        <v>117</v>
      </c>
    </row>
    <row r="53" spans="2:6" ht="43.5">
      <c r="B53" s="17" t="s">
        <v>229</v>
      </c>
      <c r="C53" s="14" t="s">
        <v>230</v>
      </c>
      <c r="D53" s="14" t="s">
        <v>231</v>
      </c>
      <c r="E53" s="24" t="s">
        <v>116</v>
      </c>
      <c r="F53" s="14" t="s">
        <v>117</v>
      </c>
    </row>
    <row r="54" spans="2:6" ht="101.25">
      <c r="B54" s="17" t="s">
        <v>232</v>
      </c>
      <c r="C54" s="14" t="s">
        <v>233</v>
      </c>
      <c r="D54" s="14" t="s">
        <v>234</v>
      </c>
      <c r="E54" s="24" t="s">
        <v>116</v>
      </c>
      <c r="F54" s="14" t="s">
        <v>117</v>
      </c>
    </row>
    <row r="55" spans="2:6" ht="29.25">
      <c r="B55" s="17" t="s">
        <v>235</v>
      </c>
      <c r="C55" s="14" t="s">
        <v>236</v>
      </c>
      <c r="D55" s="14" t="s">
        <v>219</v>
      </c>
      <c r="E55" s="24" t="s">
        <v>116</v>
      </c>
      <c r="F55" s="14" t="s">
        <v>117</v>
      </c>
    </row>
    <row r="56" spans="2:6" ht="29.25">
      <c r="B56" s="17" t="s">
        <v>237</v>
      </c>
      <c r="C56" s="14" t="s">
        <v>238</v>
      </c>
      <c r="D56" s="14" t="s">
        <v>239</v>
      </c>
      <c r="E56" s="24" t="s">
        <v>116</v>
      </c>
      <c r="F56" s="14" t="s">
        <v>117</v>
      </c>
    </row>
    <row r="57" spans="2:6" ht="43.5">
      <c r="B57" s="17" t="s">
        <v>240</v>
      </c>
      <c r="C57" s="14" t="s">
        <v>241</v>
      </c>
      <c r="D57" s="14" t="s">
        <v>242</v>
      </c>
      <c r="E57" s="24" t="s">
        <v>116</v>
      </c>
      <c r="F57" s="14" t="s">
        <v>117</v>
      </c>
    </row>
    <row r="58" spans="2:6" ht="231">
      <c r="B58" s="17" t="s">
        <v>243</v>
      </c>
      <c r="C58" s="14" t="s">
        <v>244</v>
      </c>
      <c r="D58" s="14" t="s">
        <v>245</v>
      </c>
      <c r="E58" s="24" t="s">
        <v>116</v>
      </c>
      <c r="F58" s="14" t="s">
        <v>117</v>
      </c>
    </row>
    <row r="59" spans="2:6" ht="29.25">
      <c r="B59" s="17" t="s">
        <v>246</v>
      </c>
      <c r="C59" s="14" t="s">
        <v>247</v>
      </c>
      <c r="D59" s="14" t="s">
        <v>219</v>
      </c>
      <c r="E59" s="24" t="s">
        <v>116</v>
      </c>
      <c r="F59" s="14" t="s">
        <v>117</v>
      </c>
    </row>
    <row r="60" spans="2:6" ht="57.75">
      <c r="B60" s="17" t="s">
        <v>248</v>
      </c>
      <c r="C60" s="14" t="s">
        <v>249</v>
      </c>
      <c r="D60" s="14" t="s">
        <v>250</v>
      </c>
      <c r="E60" s="24" t="s">
        <v>116</v>
      </c>
      <c r="F60" s="14" t="s">
        <v>117</v>
      </c>
    </row>
    <row r="61" spans="2:6" ht="29.25">
      <c r="B61" s="17" t="s">
        <v>251</v>
      </c>
      <c r="C61" s="14" t="s">
        <v>252</v>
      </c>
      <c r="D61" s="14" t="s">
        <v>219</v>
      </c>
      <c r="E61" s="24" t="s">
        <v>116</v>
      </c>
      <c r="F61" s="14" t="s">
        <v>117</v>
      </c>
    </row>
    <row r="62" spans="2:6" ht="144.75">
      <c r="B62" s="17" t="s">
        <v>253</v>
      </c>
      <c r="C62" s="15" t="s">
        <v>254</v>
      </c>
      <c r="D62" s="15" t="s">
        <v>255</v>
      </c>
      <c r="E62" s="24" t="s">
        <v>116</v>
      </c>
      <c r="F62" s="14" t="s">
        <v>117</v>
      </c>
    </row>
    <row r="63" spans="2:6" ht="174">
      <c r="B63" s="17" t="s">
        <v>256</v>
      </c>
      <c r="C63" s="15" t="s">
        <v>257</v>
      </c>
      <c r="D63" s="15" t="s">
        <v>258</v>
      </c>
      <c r="E63" s="24" t="s">
        <v>116</v>
      </c>
      <c r="F63" s="14" t="s">
        <v>117</v>
      </c>
    </row>
    <row r="64" spans="2:6" ht="29.25">
      <c r="B64" s="17" t="s">
        <v>259</v>
      </c>
      <c r="C64" s="15" t="s">
        <v>260</v>
      </c>
      <c r="D64" s="15" t="s">
        <v>261</v>
      </c>
      <c r="E64" s="24" t="s">
        <v>116</v>
      </c>
      <c r="F64" s="14" t="s">
        <v>117</v>
      </c>
    </row>
    <row r="65" spans="2:6" ht="29.25">
      <c r="B65" s="17" t="s">
        <v>262</v>
      </c>
      <c r="C65" s="15" t="s">
        <v>263</v>
      </c>
      <c r="D65" s="14" t="s">
        <v>219</v>
      </c>
      <c r="E65" s="24" t="s">
        <v>116</v>
      </c>
      <c r="F65" s="14" t="s">
        <v>117</v>
      </c>
    </row>
    <row r="66" spans="2:6" ht="409.6">
      <c r="B66" s="17" t="s">
        <v>264</v>
      </c>
      <c r="C66" s="15" t="s">
        <v>265</v>
      </c>
      <c r="D66" s="14" t="s">
        <v>266</v>
      </c>
      <c r="E66" s="24" t="s">
        <v>116</v>
      </c>
      <c r="F66" s="14" t="s">
        <v>117</v>
      </c>
    </row>
    <row r="67" spans="2:6" ht="72.75">
      <c r="B67" s="17" t="s">
        <v>267</v>
      </c>
      <c r="C67" s="15" t="s">
        <v>268</v>
      </c>
      <c r="D67" s="15" t="s">
        <v>269</v>
      </c>
      <c r="E67" s="24" t="s">
        <v>116</v>
      </c>
      <c r="F67" s="14" t="s">
        <v>117</v>
      </c>
    </row>
    <row r="68" spans="2:6" ht="29.25">
      <c r="B68" s="17" t="s">
        <v>270</v>
      </c>
      <c r="C68" s="15" t="s">
        <v>271</v>
      </c>
      <c r="D68" s="15" t="s">
        <v>272</v>
      </c>
      <c r="E68" s="24" t="s">
        <v>116</v>
      </c>
      <c r="F68" s="14" t="s">
        <v>117</v>
      </c>
    </row>
    <row r="69" spans="2:6" ht="72.75">
      <c r="B69" s="17" t="s">
        <v>273</v>
      </c>
      <c r="C69" s="15" t="s">
        <v>274</v>
      </c>
      <c r="D69" s="15" t="s">
        <v>275</v>
      </c>
      <c r="E69" s="24" t="s">
        <v>116</v>
      </c>
      <c r="F69" s="14" t="s">
        <v>117</v>
      </c>
    </row>
    <row r="70" spans="2:6" ht="29.25">
      <c r="B70" s="17" t="s">
        <v>276</v>
      </c>
      <c r="C70" s="15" t="s">
        <v>277</v>
      </c>
      <c r="D70" s="15" t="s">
        <v>199</v>
      </c>
      <c r="E70" s="24" t="s">
        <v>116</v>
      </c>
      <c r="F70" s="14" t="s">
        <v>117</v>
      </c>
    </row>
    <row r="71" spans="2:6" ht="29.25">
      <c r="B71" s="17" t="s">
        <v>278</v>
      </c>
      <c r="C71" s="14" t="s">
        <v>279</v>
      </c>
      <c r="D71" s="14" t="s">
        <v>280</v>
      </c>
      <c r="E71" s="24" t="s">
        <v>111</v>
      </c>
      <c r="F71" s="14" t="s">
        <v>117</v>
      </c>
    </row>
    <row r="72" spans="2:6" ht="115.5">
      <c r="B72" s="17" t="s">
        <v>281</v>
      </c>
      <c r="C72" s="14" t="s">
        <v>279</v>
      </c>
      <c r="D72" s="14" t="s">
        <v>282</v>
      </c>
      <c r="E72" s="24" t="s">
        <v>111</v>
      </c>
      <c r="F72" s="14" t="s">
        <v>117</v>
      </c>
    </row>
    <row r="73" spans="2:6" ht="29.25">
      <c r="B73" s="17" t="s">
        <v>283</v>
      </c>
      <c r="C73" s="14" t="s">
        <v>284</v>
      </c>
      <c r="D73" s="14" t="s">
        <v>285</v>
      </c>
      <c r="E73" s="24" t="s">
        <v>116</v>
      </c>
      <c r="F73" s="14" t="s">
        <v>117</v>
      </c>
    </row>
    <row r="74" spans="2:6" ht="29.25">
      <c r="B74" s="17" t="s">
        <v>286</v>
      </c>
      <c r="C74" s="15" t="s">
        <v>287</v>
      </c>
      <c r="D74" s="15" t="s">
        <v>288</v>
      </c>
      <c r="E74" s="24" t="s">
        <v>71</v>
      </c>
      <c r="F74" s="14" t="s">
        <v>117</v>
      </c>
    </row>
    <row r="75" spans="2:6" ht="29.25">
      <c r="B75" s="17" t="s">
        <v>289</v>
      </c>
      <c r="C75" s="15" t="s">
        <v>290</v>
      </c>
      <c r="D75" s="15" t="s">
        <v>291</v>
      </c>
      <c r="E75" s="24" t="s">
        <v>103</v>
      </c>
      <c r="F75" s="14" t="s">
        <v>117</v>
      </c>
    </row>
    <row r="76" spans="2:6" ht="390">
      <c r="B76" s="17" t="s">
        <v>292</v>
      </c>
      <c r="C76" s="15" t="s">
        <v>265</v>
      </c>
      <c r="D76" s="14" t="s">
        <v>293</v>
      </c>
      <c r="E76" s="24" t="s">
        <v>116</v>
      </c>
      <c r="F76" s="14" t="s">
        <v>117</v>
      </c>
    </row>
  </sheetData>
  <autoFilter ref="B2:E76" xr:uid="{6FDCA017-7D2C-4522-A381-13743C4B692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1B19D-C666-475B-A543-BDB274CB5B08}">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97C54-75B7-44EC-B586-773C77407509}">
  <dimension ref="A1"/>
  <sheetViews>
    <sheetView workbookViewId="0"/>
  </sheetViews>
  <sheetFormatPr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86150-E62F-435A-B718-B2EA16FABF7D}">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64B5-0E87-4471-A838-521EBF6D60FB}">
  <sheetPr filterMode="1">
    <tabColor rgb="FF92D050"/>
  </sheetPr>
  <dimension ref="A1:H32"/>
  <sheetViews>
    <sheetView workbookViewId="0">
      <selection activeCell="B3" sqref="B3"/>
    </sheetView>
  </sheetViews>
  <sheetFormatPr defaultRowHeight="15"/>
  <cols>
    <col min="1" max="1" width="5" style="27" customWidth="1"/>
    <col min="2" max="2" width="14.7109375" style="27" customWidth="1"/>
    <col min="3" max="3" width="26.7109375" style="27" customWidth="1"/>
    <col min="4" max="4" width="65" style="26" customWidth="1"/>
    <col min="5" max="5" width="20.42578125" style="26" customWidth="1"/>
    <col min="6" max="6" width="29.7109375" style="36" customWidth="1"/>
    <col min="7" max="16384" width="9.140625" style="27"/>
  </cols>
  <sheetData>
    <row r="1" spans="1:8">
      <c r="C1" s="28"/>
      <c r="D1" s="28"/>
    </row>
    <row r="2" spans="1:8">
      <c r="A2" s="26"/>
      <c r="B2" s="13" t="s">
        <v>63</v>
      </c>
      <c r="C2" s="13" t="s">
        <v>64</v>
      </c>
      <c r="D2" s="13" t="s">
        <v>65</v>
      </c>
      <c r="E2" s="19" t="s">
        <v>66</v>
      </c>
      <c r="F2" s="19" t="s">
        <v>67</v>
      </c>
      <c r="G2" s="26"/>
      <c r="H2" s="26"/>
    </row>
    <row r="3" spans="1:8" ht="72.75">
      <c r="B3" s="35" t="s">
        <v>294</v>
      </c>
      <c r="C3" s="14" t="s">
        <v>295</v>
      </c>
      <c r="D3" s="32" t="s">
        <v>296</v>
      </c>
      <c r="E3" s="34" t="s">
        <v>71</v>
      </c>
      <c r="F3" s="37" t="s">
        <v>297</v>
      </c>
    </row>
    <row r="4" spans="1:8" ht="175.5">
      <c r="B4" s="35" t="s">
        <v>298</v>
      </c>
      <c r="C4" s="14" t="s">
        <v>299</v>
      </c>
      <c r="D4" s="32" t="s">
        <v>300</v>
      </c>
      <c r="E4" s="34" t="s">
        <v>71</v>
      </c>
      <c r="F4" s="37" t="s">
        <v>301</v>
      </c>
    </row>
    <row r="5" spans="1:8" ht="57.75">
      <c r="B5" s="35" t="s">
        <v>302</v>
      </c>
      <c r="C5" s="14" t="s">
        <v>303</v>
      </c>
      <c r="D5" s="32" t="s">
        <v>304</v>
      </c>
      <c r="E5" s="34" t="s">
        <v>71</v>
      </c>
      <c r="F5" s="37" t="s">
        <v>305</v>
      </c>
    </row>
    <row r="6" spans="1:8" ht="46.5">
      <c r="B6" s="35" t="s">
        <v>306</v>
      </c>
      <c r="C6" s="14" t="s">
        <v>307</v>
      </c>
      <c r="D6" s="18" t="s">
        <v>308</v>
      </c>
      <c r="E6" s="34" t="s">
        <v>71</v>
      </c>
      <c r="F6" s="37" t="s">
        <v>305</v>
      </c>
    </row>
    <row r="7" spans="1:8" ht="57.75">
      <c r="B7" s="35" t="s">
        <v>309</v>
      </c>
      <c r="C7" s="14" t="s">
        <v>310</v>
      </c>
      <c r="D7" s="38" t="s">
        <v>311</v>
      </c>
      <c r="E7" s="35" t="s">
        <v>71</v>
      </c>
      <c r="F7" s="37" t="s">
        <v>312</v>
      </c>
    </row>
    <row r="8" spans="1:8" ht="346.5" hidden="1">
      <c r="B8" s="35" t="s">
        <v>313</v>
      </c>
      <c r="C8" s="14" t="s">
        <v>314</v>
      </c>
      <c r="D8" s="18" t="s">
        <v>315</v>
      </c>
      <c r="E8" s="35" t="s">
        <v>116</v>
      </c>
      <c r="F8" s="14" t="s">
        <v>117</v>
      </c>
    </row>
    <row r="9" spans="1:8" ht="409.6" hidden="1">
      <c r="B9" s="35" t="s">
        <v>316</v>
      </c>
      <c r="C9" s="14" t="s">
        <v>317</v>
      </c>
      <c r="D9" s="18" t="s">
        <v>318</v>
      </c>
      <c r="E9" s="35" t="s">
        <v>116</v>
      </c>
      <c r="F9" s="14" t="s">
        <v>117</v>
      </c>
    </row>
    <row r="10" spans="1:8" ht="174" hidden="1">
      <c r="B10" s="35" t="s">
        <v>319</v>
      </c>
      <c r="C10" s="14" t="s">
        <v>320</v>
      </c>
      <c r="D10" s="18" t="s">
        <v>321</v>
      </c>
      <c r="E10" s="35" t="s">
        <v>116</v>
      </c>
      <c r="F10" s="14" t="s">
        <v>117</v>
      </c>
    </row>
    <row r="11" spans="1:8" ht="72.75" hidden="1">
      <c r="B11" s="35" t="s">
        <v>322</v>
      </c>
      <c r="C11" s="14" t="s">
        <v>323</v>
      </c>
      <c r="D11" s="33" t="s">
        <v>324</v>
      </c>
      <c r="E11" s="35" t="s">
        <v>116</v>
      </c>
      <c r="F11" s="14" t="s">
        <v>117</v>
      </c>
    </row>
    <row r="12" spans="1:8" ht="57.75">
      <c r="B12" s="35" t="s">
        <v>325</v>
      </c>
      <c r="C12" s="14" t="s">
        <v>326</v>
      </c>
      <c r="D12" s="33" t="s">
        <v>327</v>
      </c>
      <c r="E12" s="35" t="s">
        <v>71</v>
      </c>
      <c r="F12" s="37" t="s">
        <v>328</v>
      </c>
    </row>
    <row r="13" spans="1:8" ht="245.25">
      <c r="B13" s="35" t="s">
        <v>329</v>
      </c>
      <c r="C13" s="14" t="s">
        <v>326</v>
      </c>
      <c r="D13" s="18" t="s">
        <v>330</v>
      </c>
      <c r="E13" s="35" t="s">
        <v>71</v>
      </c>
      <c r="F13" s="37" t="s">
        <v>331</v>
      </c>
    </row>
    <row r="14" spans="1:8" ht="231" hidden="1">
      <c r="B14" s="35" t="s">
        <v>332</v>
      </c>
      <c r="C14" s="14" t="s">
        <v>333</v>
      </c>
      <c r="D14" s="18" t="s">
        <v>334</v>
      </c>
      <c r="E14" s="35" t="s">
        <v>116</v>
      </c>
      <c r="F14" s="14" t="s">
        <v>117</v>
      </c>
    </row>
    <row r="15" spans="1:8" ht="57.75" hidden="1">
      <c r="B15" s="35" t="s">
        <v>335</v>
      </c>
      <c r="C15" s="14" t="s">
        <v>336</v>
      </c>
      <c r="D15" s="29" t="s">
        <v>337</v>
      </c>
      <c r="E15" s="35" t="s">
        <v>116</v>
      </c>
      <c r="F15" s="37"/>
    </row>
    <row r="16" spans="1:8" ht="409.6" hidden="1">
      <c r="B16" s="35" t="s">
        <v>338</v>
      </c>
      <c r="C16" s="14" t="s">
        <v>339</v>
      </c>
      <c r="D16" s="18" t="s">
        <v>340</v>
      </c>
      <c r="E16" s="35" t="s">
        <v>116</v>
      </c>
      <c r="F16" s="14" t="s">
        <v>117</v>
      </c>
    </row>
    <row r="17" spans="2:6" ht="159" hidden="1">
      <c r="B17" s="35" t="s">
        <v>341</v>
      </c>
      <c r="C17" s="14" t="s">
        <v>342</v>
      </c>
      <c r="D17" s="28" t="s">
        <v>343</v>
      </c>
      <c r="E17" s="35" t="s">
        <v>116</v>
      </c>
      <c r="F17" s="37"/>
    </row>
    <row r="18" spans="2:6" ht="181.5" hidden="1">
      <c r="B18" s="35" t="s">
        <v>344</v>
      </c>
      <c r="C18" s="14" t="s">
        <v>345</v>
      </c>
      <c r="D18" s="18" t="s">
        <v>346</v>
      </c>
      <c r="E18" s="35"/>
      <c r="F18" s="37"/>
    </row>
    <row r="19" spans="2:6" ht="88.5">
      <c r="B19" s="35" t="s">
        <v>347</v>
      </c>
      <c r="C19" s="14" t="s">
        <v>348</v>
      </c>
      <c r="D19" s="28" t="s">
        <v>349</v>
      </c>
      <c r="E19" s="35" t="s">
        <v>71</v>
      </c>
      <c r="F19" s="37"/>
    </row>
    <row r="20" spans="2:6" ht="119.25">
      <c r="B20" s="35" t="s">
        <v>350</v>
      </c>
      <c r="C20" s="14" t="s">
        <v>351</v>
      </c>
      <c r="D20" s="15" t="s">
        <v>352</v>
      </c>
      <c r="E20" s="35" t="s">
        <v>71</v>
      </c>
      <c r="F20" s="37"/>
    </row>
    <row r="21" spans="2:6" ht="233.25">
      <c r="B21" s="35" t="s">
        <v>353</v>
      </c>
      <c r="C21" s="14" t="s">
        <v>354</v>
      </c>
      <c r="D21" s="15" t="s">
        <v>355</v>
      </c>
      <c r="E21" s="35" t="s">
        <v>71</v>
      </c>
      <c r="F21" s="37"/>
    </row>
    <row r="22" spans="2:6" ht="294.75">
      <c r="B22" s="35" t="s">
        <v>356</v>
      </c>
      <c r="C22" s="14" t="s">
        <v>357</v>
      </c>
      <c r="D22" s="15" t="s">
        <v>358</v>
      </c>
      <c r="E22" s="35" t="s">
        <v>71</v>
      </c>
      <c r="F22" s="37"/>
    </row>
    <row r="23" spans="2:6" ht="144.75">
      <c r="B23" s="35" t="s">
        <v>359</v>
      </c>
      <c r="C23" s="14" t="s">
        <v>360</v>
      </c>
      <c r="D23" s="15" t="s">
        <v>361</v>
      </c>
      <c r="E23" s="35" t="s">
        <v>71</v>
      </c>
      <c r="F23" s="37"/>
    </row>
    <row r="24" spans="2:6" ht="201.75">
      <c r="B24" s="35" t="s">
        <v>362</v>
      </c>
      <c r="C24" s="14" t="s">
        <v>363</v>
      </c>
      <c r="D24" s="15" t="s">
        <v>364</v>
      </c>
      <c r="E24" s="35" t="s">
        <v>71</v>
      </c>
      <c r="F24" s="37"/>
    </row>
    <row r="25" spans="2:6" ht="188.25">
      <c r="B25" s="35" t="s">
        <v>365</v>
      </c>
      <c r="C25" s="14" t="s">
        <v>366</v>
      </c>
      <c r="D25" s="15" t="s">
        <v>367</v>
      </c>
      <c r="E25" s="35" t="s">
        <v>71</v>
      </c>
      <c r="F25" s="37"/>
    </row>
    <row r="26" spans="2:6" ht="101.25">
      <c r="B26" s="35" t="s">
        <v>368</v>
      </c>
      <c r="C26" s="30" t="s">
        <v>369</v>
      </c>
      <c r="D26" s="15" t="s">
        <v>370</v>
      </c>
      <c r="E26" s="35" t="s">
        <v>71</v>
      </c>
      <c r="F26" s="37"/>
    </row>
    <row r="27" spans="2:6" ht="101.25">
      <c r="B27" s="35" t="s">
        <v>371</v>
      </c>
      <c r="C27" s="14" t="s">
        <v>372</v>
      </c>
      <c r="D27" s="30" t="s">
        <v>373</v>
      </c>
      <c r="E27" s="35" t="s">
        <v>71</v>
      </c>
      <c r="F27" s="37"/>
    </row>
    <row r="28" spans="2:6" ht="159">
      <c r="B28" s="35" t="s">
        <v>374</v>
      </c>
      <c r="C28" s="14" t="s">
        <v>375</v>
      </c>
      <c r="D28" s="31" t="s">
        <v>376</v>
      </c>
      <c r="E28" s="35" t="s">
        <v>71</v>
      </c>
      <c r="F28" s="37"/>
    </row>
    <row r="29" spans="2:6" ht="57.75">
      <c r="B29" s="35" t="s">
        <v>377</v>
      </c>
      <c r="C29" s="14" t="s">
        <v>378</v>
      </c>
      <c r="D29" s="30" t="s">
        <v>379</v>
      </c>
      <c r="E29" s="35" t="s">
        <v>71</v>
      </c>
      <c r="F29" s="37"/>
    </row>
    <row r="30" spans="2:6" ht="101.25">
      <c r="B30" s="35" t="s">
        <v>380</v>
      </c>
      <c r="C30" s="14" t="s">
        <v>381</v>
      </c>
      <c r="D30" s="14" t="s">
        <v>382</v>
      </c>
      <c r="E30" s="35" t="s">
        <v>71</v>
      </c>
      <c r="F30" s="37"/>
    </row>
    <row r="31" spans="2:6" ht="72.75">
      <c r="B31" s="35" t="s">
        <v>383</v>
      </c>
      <c r="C31" s="14" t="s">
        <v>384</v>
      </c>
      <c r="D31" s="14" t="s">
        <v>385</v>
      </c>
      <c r="E31" s="35" t="s">
        <v>71</v>
      </c>
      <c r="F31" s="37"/>
    </row>
    <row r="32" spans="2:6" ht="72.75">
      <c r="B32" s="35" t="s">
        <v>386</v>
      </c>
      <c r="C32" s="30" t="s">
        <v>387</v>
      </c>
      <c r="D32" s="30" t="s">
        <v>388</v>
      </c>
      <c r="E32" s="35" t="s">
        <v>71</v>
      </c>
      <c r="F32" s="37"/>
    </row>
  </sheetData>
  <autoFilter ref="B2:F32" xr:uid="{511864B5-0E87-4471-A838-521EBF6D60FB}">
    <filterColumn colId="3">
      <filters>
        <filter val="F"/>
      </filters>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00CB3-30A9-44A3-BE0E-C616A9EB8650}">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3F9DE-ED2F-472E-B242-69576EF1BD07}">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BF358-AD34-441F-800F-8982869D41E2}">
  <dimension ref="A1"/>
  <sheetViews>
    <sheetView workbookViewId="0"/>
  </sheetViews>
  <sheetFormatPr defaultRowHeight="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51ED4-4D71-4B4D-9B29-9DCC6A445B93}">
  <dimension ref="A1"/>
  <sheetViews>
    <sheetView workbookViewId="0">
      <selection activeCell="K22" sqref="K22"/>
    </sheetView>
  </sheetViews>
  <sheetFormatPr defaultRowHeight="1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2948C-BBA9-4409-8A6B-EDE86A8FA055}">
  <dimension ref="A1"/>
  <sheetViews>
    <sheetView workbookViewId="0">
      <selection activeCell="K19" sqref="K19"/>
    </sheetView>
  </sheetViews>
  <sheetFormatPr defaultRowHeight="1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7F8D3-336A-4EB3-9234-66ADDFE3149E}">
  <sheetPr>
    <tabColor rgb="FF92D050"/>
  </sheetPr>
  <dimension ref="A2:F37"/>
  <sheetViews>
    <sheetView tabSelected="1" topLeftCell="A13" workbookViewId="0">
      <selection activeCell="B21" sqref="B21"/>
    </sheetView>
  </sheetViews>
  <sheetFormatPr defaultRowHeight="15"/>
  <cols>
    <col min="1" max="1" width="4.7109375" customWidth="1"/>
    <col min="2" max="2" width="21" customWidth="1"/>
    <col min="3" max="3" width="55.28515625" customWidth="1"/>
    <col min="4" max="4" width="65" customWidth="1"/>
    <col min="6" max="6" width="25.140625" customWidth="1"/>
  </cols>
  <sheetData>
    <row r="2" spans="1:6">
      <c r="A2" s="20"/>
      <c r="B2" s="13" t="s">
        <v>63</v>
      </c>
      <c r="C2" s="13" t="s">
        <v>64</v>
      </c>
      <c r="D2" s="13" t="s">
        <v>65</v>
      </c>
      <c r="E2" s="19" t="s">
        <v>66</v>
      </c>
      <c r="F2" s="19" t="s">
        <v>67</v>
      </c>
    </row>
    <row r="3" spans="1:6" ht="30.75">
      <c r="B3" s="58" t="s">
        <v>389</v>
      </c>
      <c r="C3" s="43" t="s">
        <v>390</v>
      </c>
      <c r="D3" s="44" t="s">
        <v>391</v>
      </c>
      <c r="E3" s="45" t="s">
        <v>71</v>
      </c>
      <c r="F3" s="46"/>
    </row>
    <row r="4" spans="1:6" ht="30.75">
      <c r="B4" s="58" t="s">
        <v>392</v>
      </c>
      <c r="C4" s="43" t="s">
        <v>393</v>
      </c>
      <c r="D4" s="44" t="s">
        <v>394</v>
      </c>
      <c r="E4" s="45" t="s">
        <v>71</v>
      </c>
      <c r="F4" s="46"/>
    </row>
    <row r="5" spans="1:6" ht="30.75">
      <c r="B5" s="58" t="s">
        <v>395</v>
      </c>
      <c r="C5" s="43" t="s">
        <v>396</v>
      </c>
      <c r="D5" s="44" t="s">
        <v>394</v>
      </c>
      <c r="E5" s="45" t="s">
        <v>71</v>
      </c>
      <c r="F5" s="46"/>
    </row>
    <row r="6" spans="1:6" ht="15.75">
      <c r="B6" s="58" t="s">
        <v>397</v>
      </c>
      <c r="C6" s="43" t="s">
        <v>398</v>
      </c>
      <c r="D6" s="44" t="s">
        <v>399</v>
      </c>
      <c r="E6" s="45" t="s">
        <v>71</v>
      </c>
      <c r="F6" s="46"/>
    </row>
    <row r="7" spans="1:6" ht="15.75">
      <c r="B7" s="58" t="s">
        <v>400</v>
      </c>
      <c r="C7" s="43" t="s">
        <v>401</v>
      </c>
      <c r="D7" s="44" t="s">
        <v>399</v>
      </c>
      <c r="E7" s="45" t="s">
        <v>71</v>
      </c>
      <c r="F7" s="46"/>
    </row>
    <row r="8" spans="1:6" ht="15.75">
      <c r="B8" s="58" t="s">
        <v>402</v>
      </c>
      <c r="C8" s="43" t="s">
        <v>403</v>
      </c>
      <c r="D8" s="44" t="s">
        <v>404</v>
      </c>
      <c r="E8" s="45" t="s">
        <v>103</v>
      </c>
      <c r="F8" s="46"/>
    </row>
    <row r="9" spans="1:6" ht="30.75">
      <c r="B9" s="58" t="s">
        <v>405</v>
      </c>
      <c r="C9" s="43" t="s">
        <v>406</v>
      </c>
      <c r="D9" s="47" t="s">
        <v>407</v>
      </c>
      <c r="E9" s="45" t="s">
        <v>71</v>
      </c>
      <c r="F9" s="46"/>
    </row>
    <row r="10" spans="1:6" ht="30.75">
      <c r="B10" s="58" t="s">
        <v>408</v>
      </c>
      <c r="C10" s="43" t="s">
        <v>409</v>
      </c>
      <c r="D10" s="47" t="s">
        <v>410</v>
      </c>
      <c r="E10" s="45" t="s">
        <v>103</v>
      </c>
      <c r="F10" s="46"/>
    </row>
    <row r="11" spans="1:6" ht="46.5">
      <c r="B11" s="58" t="s">
        <v>411</v>
      </c>
      <c r="C11" s="43" t="s">
        <v>412</v>
      </c>
      <c r="D11" s="47" t="s">
        <v>413</v>
      </c>
      <c r="E11" s="45" t="s">
        <v>103</v>
      </c>
      <c r="F11" s="46"/>
    </row>
    <row r="12" spans="1:6" ht="30.75">
      <c r="B12" s="58" t="s">
        <v>414</v>
      </c>
      <c r="C12" s="43" t="s">
        <v>415</v>
      </c>
      <c r="D12" s="47" t="s">
        <v>416</v>
      </c>
      <c r="E12" s="45" t="s">
        <v>116</v>
      </c>
      <c r="F12" s="46"/>
    </row>
    <row r="13" spans="1:6" ht="46.5">
      <c r="B13" s="58" t="s">
        <v>417</v>
      </c>
      <c r="C13" s="50" t="s">
        <v>418</v>
      </c>
      <c r="D13" s="51" t="s">
        <v>419</v>
      </c>
      <c r="E13" s="45" t="s">
        <v>71</v>
      </c>
      <c r="F13" s="46"/>
    </row>
    <row r="14" spans="1:6" ht="30.75">
      <c r="B14" s="58" t="s">
        <v>420</v>
      </c>
      <c r="C14" s="43" t="s">
        <v>421</v>
      </c>
      <c r="D14" s="47" t="s">
        <v>407</v>
      </c>
      <c r="E14" s="45" t="s">
        <v>71</v>
      </c>
      <c r="F14" s="46"/>
    </row>
    <row r="15" spans="1:6" ht="15.75">
      <c r="B15" s="35" t="s">
        <v>422</v>
      </c>
      <c r="C15" s="43" t="s">
        <v>423</v>
      </c>
      <c r="D15" s="47" t="s">
        <v>424</v>
      </c>
      <c r="E15" s="45" t="s">
        <v>71</v>
      </c>
      <c r="F15" s="46"/>
    </row>
    <row r="16" spans="1:6" ht="15.75">
      <c r="B16" s="35" t="s">
        <v>425</v>
      </c>
      <c r="C16" s="43" t="s">
        <v>426</v>
      </c>
      <c r="D16" s="47" t="s">
        <v>427</v>
      </c>
      <c r="E16" s="45" t="s">
        <v>71</v>
      </c>
      <c r="F16" s="46"/>
    </row>
    <row r="17" spans="2:6" ht="15.75">
      <c r="B17" s="35" t="s">
        <v>428</v>
      </c>
      <c r="C17" s="43" t="s">
        <v>429</v>
      </c>
      <c r="D17" s="44" t="s">
        <v>404</v>
      </c>
      <c r="E17" s="45" t="s">
        <v>103</v>
      </c>
      <c r="F17" s="46"/>
    </row>
    <row r="18" spans="2:6" ht="15.75">
      <c r="B18" s="35" t="s">
        <v>430</v>
      </c>
      <c r="C18" s="43" t="s">
        <v>431</v>
      </c>
      <c r="D18" s="47" t="s">
        <v>432</v>
      </c>
      <c r="E18" s="45" t="s">
        <v>103</v>
      </c>
      <c r="F18" s="46"/>
    </row>
    <row r="19" spans="2:6" ht="15.75">
      <c r="B19" s="35" t="s">
        <v>433</v>
      </c>
      <c r="C19" s="48" t="s">
        <v>434</v>
      </c>
      <c r="D19" s="49" t="s">
        <v>435</v>
      </c>
      <c r="E19" s="45" t="s">
        <v>71</v>
      </c>
      <c r="F19" s="46"/>
    </row>
    <row r="20" spans="2:6" ht="15.75">
      <c r="B20" s="35" t="s">
        <v>436</v>
      </c>
      <c r="C20" s="50" t="s">
        <v>437</v>
      </c>
      <c r="D20" s="51" t="s">
        <v>438</v>
      </c>
      <c r="E20" s="45" t="s">
        <v>71</v>
      </c>
      <c r="F20" s="46"/>
    </row>
    <row r="21" spans="2:6" ht="46.5">
      <c r="B21" s="58" t="s">
        <v>439</v>
      </c>
      <c r="C21" s="52" t="s">
        <v>440</v>
      </c>
      <c r="D21" s="53" t="s">
        <v>441</v>
      </c>
      <c r="E21" s="45" t="s">
        <v>71</v>
      </c>
      <c r="F21" s="46"/>
    </row>
    <row r="22" spans="2:6" ht="30.75">
      <c r="B22" s="35" t="s">
        <v>442</v>
      </c>
      <c r="C22" s="52" t="s">
        <v>443</v>
      </c>
      <c r="D22" s="53" t="s">
        <v>444</v>
      </c>
      <c r="E22" s="45" t="s">
        <v>71</v>
      </c>
      <c r="F22" s="46"/>
    </row>
    <row r="23" spans="2:6" ht="30.75">
      <c r="B23" s="35" t="s">
        <v>445</v>
      </c>
      <c r="C23" s="52" t="s">
        <v>446</v>
      </c>
      <c r="D23" s="53" t="s">
        <v>447</v>
      </c>
      <c r="E23" s="45" t="s">
        <v>103</v>
      </c>
      <c r="F23" s="46"/>
    </row>
    <row r="24" spans="2:6" ht="30.75">
      <c r="B24" s="35" t="s">
        <v>448</v>
      </c>
      <c r="C24" s="50" t="s">
        <v>449</v>
      </c>
      <c r="D24" s="51" t="s">
        <v>450</v>
      </c>
      <c r="E24" s="45" t="s">
        <v>103</v>
      </c>
      <c r="F24" s="46"/>
    </row>
    <row r="25" spans="2:6" ht="46.5">
      <c r="B25" s="35" t="s">
        <v>451</v>
      </c>
      <c r="C25" s="52" t="s">
        <v>452</v>
      </c>
      <c r="D25" s="53" t="s">
        <v>453</v>
      </c>
      <c r="E25" s="45" t="s">
        <v>103</v>
      </c>
      <c r="F25" s="46"/>
    </row>
    <row r="26" spans="2:6" ht="30.75">
      <c r="B26" s="35" t="s">
        <v>454</v>
      </c>
      <c r="C26" s="52" t="s">
        <v>446</v>
      </c>
      <c r="D26" s="53" t="s">
        <v>455</v>
      </c>
      <c r="E26" s="45" t="s">
        <v>103</v>
      </c>
      <c r="F26" s="46"/>
    </row>
    <row r="27" spans="2:6" ht="30.75">
      <c r="B27" s="35" t="s">
        <v>456</v>
      </c>
      <c r="C27" s="52" t="s">
        <v>457</v>
      </c>
      <c r="D27" s="53" t="s">
        <v>458</v>
      </c>
      <c r="E27" s="45" t="s">
        <v>111</v>
      </c>
      <c r="F27" s="46"/>
    </row>
    <row r="28" spans="2:6" ht="15.75">
      <c r="B28" s="35" t="s">
        <v>459</v>
      </c>
      <c r="C28" s="50" t="s">
        <v>460</v>
      </c>
      <c r="D28" s="51" t="s">
        <v>461</v>
      </c>
      <c r="E28" s="45" t="s">
        <v>111</v>
      </c>
      <c r="F28" s="46"/>
    </row>
    <row r="29" spans="2:6" ht="15.75">
      <c r="B29" s="35" t="s">
        <v>462</v>
      </c>
      <c r="C29" s="50" t="s">
        <v>463</v>
      </c>
      <c r="D29" s="51" t="s">
        <v>464</v>
      </c>
      <c r="E29" s="45" t="s">
        <v>111</v>
      </c>
      <c r="F29" s="46"/>
    </row>
    <row r="30" spans="2:6" ht="61.5">
      <c r="B30" s="35" t="s">
        <v>465</v>
      </c>
      <c r="C30" s="50" t="s">
        <v>466</v>
      </c>
      <c r="D30" s="53" t="s">
        <v>467</v>
      </c>
      <c r="E30" s="45" t="s">
        <v>111</v>
      </c>
      <c r="F30" s="46"/>
    </row>
    <row r="31" spans="2:6" ht="15.75">
      <c r="B31" s="35" t="s">
        <v>468</v>
      </c>
      <c r="C31" s="50" t="s">
        <v>469</v>
      </c>
      <c r="D31" s="51" t="s">
        <v>470</v>
      </c>
      <c r="E31" s="45" t="s">
        <v>111</v>
      </c>
      <c r="F31" s="46"/>
    </row>
    <row r="32" spans="2:6" ht="46.5">
      <c r="B32" s="35" t="s">
        <v>471</v>
      </c>
      <c r="C32" s="52" t="s">
        <v>472</v>
      </c>
      <c r="D32" s="53" t="s">
        <v>473</v>
      </c>
      <c r="E32" s="45" t="s">
        <v>111</v>
      </c>
      <c r="F32" s="46"/>
    </row>
    <row r="33" spans="2:6" ht="30.75">
      <c r="B33" s="35" t="s">
        <v>474</v>
      </c>
      <c r="C33" s="52" t="s">
        <v>475</v>
      </c>
      <c r="D33" s="53" t="s">
        <v>476</v>
      </c>
      <c r="E33" s="45" t="s">
        <v>111</v>
      </c>
      <c r="F33" s="46"/>
    </row>
    <row r="34" spans="2:6" ht="200.25">
      <c r="B34" s="35" t="s">
        <v>477</v>
      </c>
      <c r="C34" s="43" t="s">
        <v>478</v>
      </c>
      <c r="D34" s="47" t="s">
        <v>479</v>
      </c>
      <c r="E34" s="45" t="s">
        <v>116</v>
      </c>
      <c r="F34" s="46"/>
    </row>
    <row r="35" spans="2:6" ht="138.75">
      <c r="B35" s="35" t="s">
        <v>480</v>
      </c>
      <c r="C35" s="43" t="s">
        <v>481</v>
      </c>
      <c r="D35" s="47" t="s">
        <v>482</v>
      </c>
      <c r="E35" s="45" t="s">
        <v>116</v>
      </c>
      <c r="F35" s="46"/>
    </row>
    <row r="36" spans="2:6" ht="15.75">
      <c r="B36" s="35" t="s">
        <v>483</v>
      </c>
      <c r="C36" s="50" t="s">
        <v>484</v>
      </c>
      <c r="D36" s="51" t="s">
        <v>485</v>
      </c>
      <c r="E36" s="45" t="s">
        <v>116</v>
      </c>
      <c r="F36" s="46"/>
    </row>
    <row r="37" spans="2:6" ht="61.5">
      <c r="B37" s="35" t="s">
        <v>486</v>
      </c>
      <c r="C37" s="50" t="s">
        <v>487</v>
      </c>
      <c r="D37" s="51" t="s">
        <v>488</v>
      </c>
      <c r="E37" s="45" t="s">
        <v>71</v>
      </c>
      <c r="F37" s="46"/>
    </row>
  </sheetData>
  <autoFilter ref="B2:F37" xr:uid="{51F7F8D3-336A-4EB3-9234-66ADDFE3149E}"/>
  <conditionalFormatting sqref="C6:D6">
    <cfRule type="colorScale" priority="10">
      <colorScale>
        <cfvo type="min"/>
        <cfvo type="percentile" val="50"/>
        <cfvo type="max"/>
        <color rgb="FFF8696B"/>
        <color rgb="FFFFEB84"/>
        <color rgb="FF63BE7B"/>
      </colorScale>
    </cfRule>
  </conditionalFormatting>
  <conditionalFormatting sqref="C3:D5 C7:D8">
    <cfRule type="colorScale" priority="11">
      <colorScale>
        <cfvo type="min"/>
        <cfvo type="percentile" val="50"/>
        <cfvo type="max"/>
        <color rgb="FFF8696B"/>
        <color rgb="FFFFEB84"/>
        <color rgb="FF63BE7B"/>
      </colorScale>
    </cfRule>
  </conditionalFormatting>
  <conditionalFormatting sqref="C9">
    <cfRule type="colorScale" priority="9">
      <colorScale>
        <cfvo type="min"/>
        <cfvo type="percentile" val="50"/>
        <cfvo type="max"/>
        <color rgb="FFF8696B"/>
        <color rgb="FFFFEB84"/>
        <color rgb="FF63BE7B"/>
      </colorScale>
    </cfRule>
  </conditionalFormatting>
  <conditionalFormatting sqref="C14">
    <cfRule type="colorScale" priority="2">
      <colorScale>
        <cfvo type="min"/>
        <cfvo type="percentile" val="50"/>
        <cfvo type="max"/>
        <color rgb="FFF8696B"/>
        <color rgb="FFFFEB84"/>
        <color rgb="FF63BE7B"/>
      </colorScale>
    </cfRule>
  </conditionalFormatting>
  <conditionalFormatting sqref="D14">
    <cfRule type="colorScale" priority="3">
      <colorScale>
        <cfvo type="min"/>
        <cfvo type="percentile" val="50"/>
        <cfvo type="max"/>
        <color rgb="FFF8696B"/>
        <color rgb="FFFFEB84"/>
        <color rgb="FF63BE7B"/>
      </colorScale>
    </cfRule>
  </conditionalFormatting>
  <conditionalFormatting sqref="C17:D17">
    <cfRule type="colorScale" priority="1">
      <colorScale>
        <cfvo type="min"/>
        <cfvo type="percentile" val="50"/>
        <cfvo type="max"/>
        <color rgb="FFF8696B"/>
        <color rgb="FFFFEB84"/>
        <color rgb="FF63BE7B"/>
      </colorScale>
    </cfRule>
  </conditionalFormatting>
  <conditionalFormatting sqref="C34:D35 C15:D16 C10:D12 D9 C18:D19">
    <cfRule type="colorScale" priority="12">
      <colorScale>
        <cfvo type="min"/>
        <cfvo type="percentile" val="50"/>
        <cfvo type="max"/>
        <color rgb="FFF8696B"/>
        <color rgb="FFFFEB84"/>
        <color rgb="FF63BE7B"/>
      </colorScale>
    </cfRule>
  </conditionalFormatting>
  <pageMargins left="0.7" right="0.7" top="0.75" bottom="0.75" header="0.3" footer="0.3"/>
  <drawing r:id="rId1"/>
</worksheet>
</file>

<file path=docMetadata/LabelInfo.xml><?xml version="1.0" encoding="utf-8"?>
<clbl:labelList xmlns:clbl="http://schemas.microsoft.com/office/2020/mipLabelMetadata">
  <clbl:label id="{4b512a4e-bb54-4328-ad34-d43205aaa1ec}" enabled="1" method="Standard" siteId="{f01e930a-b52e-42b1-b70f-a8882b5d043b}"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 Bui Thi</dc:creator>
  <cp:keywords/>
  <dc:description/>
  <cp:lastModifiedBy>Tung Nguyen Van</cp:lastModifiedBy>
  <cp:revision/>
  <dcterms:created xsi:type="dcterms:W3CDTF">2015-06-05T18:17:20Z</dcterms:created>
  <dcterms:modified xsi:type="dcterms:W3CDTF">2026-05-20T08:05:25Z</dcterms:modified>
  <cp:category/>
  <cp:contentStatus/>
</cp:coreProperties>
</file>